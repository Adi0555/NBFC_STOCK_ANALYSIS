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4 Semeester\Finance\fmv\"/>
    </mc:Choice>
  </mc:AlternateContent>
  <xr:revisionPtr revIDLastSave="0" documentId="8_{9B1B6EE0-7E64-4E40-9282-F06188CA7E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 vs Equity Value" sheetId="1" r:id="rId1"/>
    <sheet name="FCFF Forecast" sheetId="2" r:id="rId2"/>
    <sheet name="WACC" sheetId="3" r:id="rId3"/>
    <sheet name="Terminal Value" sheetId="4" r:id="rId4"/>
    <sheet name="Comparable Analysis" sheetId="5" r:id="rId5"/>
    <sheet name="Conclus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C6" i="5"/>
  <c r="B6" i="5"/>
  <c r="B6" i="4"/>
  <c r="B5" i="4"/>
  <c r="B3" i="6"/>
  <c r="B9" i="3"/>
  <c r="G16" i="2"/>
  <c r="F16" i="2"/>
  <c r="E16" i="2"/>
  <c r="G15" i="2"/>
  <c r="F15" i="2"/>
  <c r="E15" i="2"/>
  <c r="B15" i="2"/>
  <c r="B16" i="2" s="1"/>
  <c r="C16" i="2" s="1"/>
  <c r="D16" i="2" s="1"/>
  <c r="H16" i="2" s="1"/>
  <c r="B3" i="4" s="1"/>
  <c r="B5" i="6" s="1"/>
  <c r="G14" i="2"/>
  <c r="F14" i="2"/>
  <c r="E14" i="2"/>
  <c r="B14" i="2"/>
  <c r="C14" i="2" s="1"/>
  <c r="D14" i="2" s="1"/>
  <c r="H14" i="2" s="1"/>
  <c r="G13" i="2"/>
  <c r="F13" i="2"/>
  <c r="E13" i="2"/>
  <c r="B13" i="2"/>
  <c r="C13" i="2" s="1"/>
  <c r="D13" i="2" s="1"/>
  <c r="H13" i="2" s="1"/>
  <c r="G12" i="2"/>
  <c r="F12" i="2"/>
  <c r="E12" i="2"/>
  <c r="B12" i="2"/>
  <c r="C12" i="2" s="1"/>
  <c r="D12" i="2" s="1"/>
  <c r="H12" i="2" s="1"/>
  <c r="B8" i="1"/>
  <c r="B7" i="1"/>
  <c r="B4" i="6" s="1"/>
  <c r="C15" i="2" l="1"/>
  <c r="D15" i="2" s="1"/>
  <c r="H15" i="2" s="1"/>
</calcChain>
</file>

<file path=xl/sharedStrings.xml><?xml version="1.0" encoding="utf-8"?>
<sst xmlns="http://schemas.openxmlformats.org/spreadsheetml/2006/main" count="99" uniqueCount="92">
  <si>
    <t>Item</t>
  </si>
  <si>
    <t>Amount (₹ Cr)</t>
  </si>
  <si>
    <t>Market Capitalisation</t>
  </si>
  <si>
    <t>Total Debt</t>
  </si>
  <si>
    <t>Cash &amp; Cash Equivalents</t>
  </si>
  <si>
    <t>Minority Interest</t>
  </si>
  <si>
    <t>Enterprise Value (EV)</t>
  </si>
  <si>
    <t>Equity Value (Market Cap)</t>
  </si>
  <si>
    <t>Equity Value (Market Cap) belongs exclusively to shareholders.</t>
  </si>
  <si>
    <t>EV is used in M&amp;A, DCF, and EV/EBITDA valuation frameworks.</t>
  </si>
  <si>
    <t>FCFF Forecast – Free Cash Flow to Firm | Paytm (One97 Communications)</t>
  </si>
  <si>
    <t>Base Revenue FY2025 (₹ Cr)</t>
  </si>
  <si>
    <t>Revenue Growth Rate (g)</t>
  </si>
  <si>
    <t>EBIT Margin</t>
  </si>
  <si>
    <t>Tax Rate</t>
  </si>
  <si>
    <t>Depreciation (₹ Cr)</t>
  </si>
  <si>
    <t>Capital Expenditure (₹ Cr)</t>
  </si>
  <si>
    <t>Year</t>
  </si>
  <si>
    <t>Revenue (₹ Cr)</t>
  </si>
  <si>
    <t>EBIT (₹ Cr)</t>
  </si>
  <si>
    <t>NOPAT (₹ Cr)</t>
  </si>
  <si>
    <t>CapEx (₹ Cr)</t>
  </si>
  <si>
    <t>FCFF (₹ Cr)</t>
  </si>
  <si>
    <t>WACC – Weighted Average Cost of Capital | Paytm (One97 Communications)</t>
  </si>
  <si>
    <t>Component</t>
  </si>
  <si>
    <t>Value</t>
  </si>
  <si>
    <t>Cost of Equity – Ke</t>
  </si>
  <si>
    <t>Cost of Debt – Kd</t>
  </si>
  <si>
    <t>Market Value of Equity (₹ Cr)</t>
  </si>
  <si>
    <t>Market Value of Debt (₹ Cr)</t>
  </si>
  <si>
    <t>WACC</t>
  </si>
  <si>
    <t>Paytm has negligible debt; WACC is almost entirely driven by Cost of Equity.</t>
  </si>
  <si>
    <t>Beta of -0.66 (negative β) suggests Paytm moves inversely to broader market — unusual for fintech; reflects regulatory disruption period.</t>
  </si>
  <si>
    <t>FCFF – Year 5 (FY2030E) (₹ Cr)</t>
  </si>
  <si>
    <t>Terminal Value (₹ Cr)</t>
  </si>
  <si>
    <t>Comparable Company Analysis – Indian Fintech Payments Sector</t>
  </si>
  <si>
    <t>Company</t>
  </si>
  <si>
    <t>P/E Ratio</t>
  </si>
  <si>
    <t>EV/EBITDA</t>
  </si>
  <si>
    <t>Paytm (One97 Comms)</t>
  </si>
  <si>
    <t>MobiKwik</t>
  </si>
  <si>
    <t>Sector Average / Median</t>
  </si>
  <si>
    <t>VALUATION USING COMPARABLE MULTIPLES</t>
  </si>
  <si>
    <t>Paytm EBITDA (₹ Cr) – FY2026E</t>
  </si>
  <si>
    <t>Paytm EPS (₹)</t>
  </si>
  <si>
    <t>Valuation Conclusion – Paytm (One97 Communications Ltd.)</t>
  </si>
  <si>
    <t>Valuation Method</t>
  </si>
  <si>
    <t>Value (₹ Cr)</t>
  </si>
  <si>
    <t>Remarks</t>
  </si>
  <si>
    <t>Market Cap (Current)</t>
  </si>
  <si>
    <t>DCF – Terminal Value (₹ Cr)</t>
  </si>
  <si>
    <t>Comparable EV (EV/EBITDA)</t>
  </si>
  <si>
    <t>INVESTMENT DECISION FRAMEWORK</t>
  </si>
  <si>
    <t>BUY</t>
  </si>
  <si>
    <t>Intrinsic Value &gt; Market Value</t>
  </si>
  <si>
    <t>HOLD</t>
  </si>
  <si>
    <t>Intrinsic Value ≈ Market Value</t>
  </si>
  <si>
    <t>SELL</t>
  </si>
  <si>
    <t>Intrinsic Value &lt; Market Value</t>
  </si>
  <si>
    <t>Risk: regulatory headwinds, UPI fee uncertainty, PhonePe competition</t>
  </si>
  <si>
    <t>Paytm's intrinsic value (DCF) is sensitive to EBIT margin assumptions. At 8% EBIT margin and 20% revenue CAGR, the company generates positive FCFF by FY2026E.</t>
  </si>
  <si>
    <t>The EV/EBITDA comparable is of limited use today (all peers are near-breakeven or loss-making), but as the sector matures, this method will gain relevance.</t>
  </si>
  <si>
    <t>Enterprise Value vs Equity Value</t>
  </si>
  <si>
    <t>Paytm (One97 Communications)</t>
  </si>
  <si>
    <t xml:space="preserve"> Interpretation</t>
  </si>
  <si>
    <t>Paytm is nearly debt-free  so EV = Market Cap − Net Cash.</t>
  </si>
  <si>
    <t>EV represents the total firm value available to both debt and equity holders.</t>
  </si>
  <si>
    <t>Working Capital (₹ Cr)</t>
  </si>
  <si>
    <t xml:space="preserve">KEY ASSUMPTIONS  </t>
  </si>
  <si>
    <t>WC (₹ Cr)</t>
  </si>
  <si>
    <t>WACC is used to discount FCFF in the DCF model .</t>
  </si>
  <si>
    <t>WACC = minimum return required by all capital providers.</t>
  </si>
  <si>
    <t>FY2026</t>
  </si>
  <si>
    <t>FY2027</t>
  </si>
  <si>
    <t>FY2028</t>
  </si>
  <si>
    <t>FY2029</t>
  </si>
  <si>
    <t>FY2030</t>
  </si>
  <si>
    <t xml:space="preserve">Growth Rate </t>
  </si>
  <si>
    <t xml:space="preserve">Terminal Value </t>
  </si>
  <si>
    <t xml:space="preserve"> Paytm (One97 Communications)</t>
  </si>
  <si>
    <t>g</t>
  </si>
  <si>
    <t>Interpretation:</t>
  </si>
  <si>
    <t>Use of Gordon Growth Model here. The company’s terminal value is estimated at ₹9,459.05 Cr, based on a Year 5 FCFF of ₹970.29 Cr, a 4% perpetual growth rate, and a 14.67% WACC, representing the present value of all future cash flows beyond FY2030.</t>
  </si>
  <si>
    <t>Source: MoneyControl, Screener and Ticker Finology</t>
  </si>
  <si>
    <t>SBI Cards</t>
  </si>
  <si>
    <t xml:space="preserve">Avg EV/EBITDA </t>
  </si>
  <si>
    <t>Current market price =₹987 is near DCF fair value</t>
  </si>
  <si>
    <t>DCF Terminal Value suggests upside if margins improve to 8%</t>
  </si>
  <si>
    <t>INTERPRETATION</t>
  </si>
  <si>
    <t>UPI incentive reduction, PhonePe market share gain, RBI regulatory scrutiny, and ESOP dilution.</t>
  </si>
  <si>
    <t>Current market cap of ₹63,051 Cr reflects recovery from 2024 regulatory lows. A HOLD/cautious BUY stance is justified for long-term investors given improving EBITDA trajectory.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</si>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</sst>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9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sz val="10"/>
      <color rgb="FF375623"/>
      <name val="Arial"/>
    </font>
    <font>
      <b/>
      <sz val="11"/>
      <color rgb="FF000000"/>
      <name val="Arial"/>
    </font>
    <font>
      <sz val="14"/>
      <color theme="2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4"/>
      <color rgb="FF9C0006"/>
      <name val="Arial"/>
      <family val="2"/>
    </font>
    <font>
      <sz val="9"/>
      <color rgb="FF000000"/>
      <name val="Source Sans Pro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4" fontId="6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10" fontId="4" fillId="5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10" fontId="7" fillId="3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4" fontId="7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 wrapText="1"/>
    </xf>
    <xf numFmtId="4" fontId="8" fillId="6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0" borderId="1" xfId="0" applyBorder="1"/>
    <xf numFmtId="0" fontId="13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11" borderId="0" xfId="0" applyFill="1"/>
    <xf numFmtId="0" fontId="15" fillId="11" borderId="1" xfId="0" applyFont="1" applyFill="1" applyBorder="1"/>
    <xf numFmtId="0" fontId="12" fillId="11" borderId="1" xfId="0" applyFont="1" applyFill="1" applyBorder="1"/>
    <xf numFmtId="0" fontId="17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0" fontId="0" fillId="11" borderId="1" xfId="0" applyFill="1" applyBorder="1"/>
    <xf numFmtId="4" fontId="4" fillId="5" borderId="5" xfId="0" applyNumberFormat="1" applyFont="1" applyFill="1" applyBorder="1" applyAlignment="1">
      <alignment horizontal="right" vertical="center"/>
    </xf>
    <xf numFmtId="0" fontId="18" fillId="0" borderId="0" xfId="0" applyFont="1"/>
    <xf numFmtId="0" fontId="0" fillId="12" borderId="0" xfId="0" applyFill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6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1" borderId="3" xfId="0" applyFill="1" applyBorder="1"/>
    <xf numFmtId="0" fontId="11" fillId="3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H12" sqref="H12"/>
    </sheetView>
  </sheetViews>
  <sheetFormatPr defaultRowHeight="14.5" x14ac:dyDescent="0.35"/>
  <cols>
    <col min="1" max="1" width="36" customWidth="1"/>
    <col min="2" max="2" width="22" customWidth="1"/>
    <col min="3" max="3" width="28" customWidth="1"/>
    <col min="5" max="5" width="44.36328125" customWidth="1"/>
  </cols>
  <sheetData>
    <row r="1" spans="1:5" ht="32" customHeight="1" x14ac:dyDescent="0.35">
      <c r="A1" s="53" t="s">
        <v>62</v>
      </c>
      <c r="B1" s="54"/>
      <c r="C1" s="54"/>
    </row>
    <row r="2" spans="1:5" ht="20" customHeight="1" x14ac:dyDescent="0.35">
      <c r="A2" s="1" t="s">
        <v>0</v>
      </c>
      <c r="B2" s="1" t="s">
        <v>1</v>
      </c>
      <c r="C2" s="32"/>
    </row>
    <row r="3" spans="1:5" ht="20" customHeight="1" x14ac:dyDescent="0.35">
      <c r="A3" s="2" t="s">
        <v>2</v>
      </c>
      <c r="B3" s="3">
        <v>63051</v>
      </c>
      <c r="C3" s="4"/>
      <c r="E3" s="64" t="s">
        <v>63</v>
      </c>
    </row>
    <row r="4" spans="1:5" ht="20" customHeight="1" x14ac:dyDescent="0.35">
      <c r="A4" s="5" t="s">
        <v>3</v>
      </c>
      <c r="B4" s="3">
        <v>15</v>
      </c>
      <c r="C4" s="33"/>
      <c r="E4" s="64"/>
    </row>
    <row r="5" spans="1:5" ht="20" customHeight="1" x14ac:dyDescent="0.35">
      <c r="A5" s="2" t="s">
        <v>4</v>
      </c>
      <c r="B5" s="3">
        <v>12929</v>
      </c>
      <c r="C5" s="4"/>
      <c r="E5" s="64"/>
    </row>
    <row r="6" spans="1:5" ht="20" customHeight="1" x14ac:dyDescent="0.35">
      <c r="A6" s="5" t="s">
        <v>5</v>
      </c>
      <c r="B6" s="3">
        <v>0</v>
      </c>
      <c r="C6" s="33"/>
      <c r="E6" s="64"/>
    </row>
    <row r="7" spans="1:5" ht="20" customHeight="1" x14ac:dyDescent="0.35">
      <c r="A7" s="62" t="s">
        <v>6</v>
      </c>
      <c r="B7" s="7">
        <f>B3+B4+B6-B5</f>
        <v>50137</v>
      </c>
      <c r="C7" s="34"/>
    </row>
    <row r="8" spans="1:5" ht="20" customHeight="1" x14ac:dyDescent="0.35">
      <c r="A8" s="8" t="s">
        <v>7</v>
      </c>
      <c r="B8" s="9">
        <f>B3</f>
        <v>63051</v>
      </c>
      <c r="C8" s="33"/>
    </row>
    <row r="9" spans="1:5" ht="20" customHeight="1" x14ac:dyDescent="0.35">
      <c r="E9" s="49" t="s">
        <v>83</v>
      </c>
    </row>
    <row r="10" spans="1:5" ht="20" customHeight="1" x14ac:dyDescent="0.35">
      <c r="A10" s="65" t="s">
        <v>64</v>
      </c>
      <c r="B10" s="54"/>
      <c r="C10" s="54"/>
    </row>
    <row r="11" spans="1:5" ht="20" customHeight="1" x14ac:dyDescent="0.35">
      <c r="A11" s="67" t="s">
        <v>66</v>
      </c>
      <c r="B11" s="61"/>
      <c r="C11" s="61"/>
    </row>
    <row r="12" spans="1:5" ht="20" customHeight="1" x14ac:dyDescent="0.35">
      <c r="A12" s="63" t="s">
        <v>8</v>
      </c>
      <c r="B12" s="61"/>
      <c r="C12" s="61"/>
    </row>
    <row r="13" spans="1:5" ht="20" customHeight="1" x14ac:dyDescent="0.35">
      <c r="A13" s="66" t="s">
        <v>9</v>
      </c>
      <c r="B13" s="61"/>
      <c r="C13" s="61"/>
    </row>
    <row r="14" spans="1:5" ht="20" customHeight="1" x14ac:dyDescent="0.35">
      <c r="A14" s="60" t="s">
        <v>65</v>
      </c>
      <c r="B14" s="61"/>
      <c r="C14" s="61"/>
    </row>
  </sheetData>
  <mergeCells count="8">
    <mergeCell ref="A1:C1"/>
    <mergeCell ref="A14:C14"/>
    <mergeCell ref="A7"/>
    <mergeCell ref="A12:C12"/>
    <mergeCell ref="E3:E6"/>
    <mergeCell ref="A10:C10"/>
    <mergeCell ref="A13:C13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topLeftCell="A6" workbookViewId="0">
      <selection activeCell="D19" sqref="D19"/>
    </sheetView>
  </sheetViews>
  <sheetFormatPr defaultRowHeight="14.5" x14ac:dyDescent="0.35"/>
  <cols>
    <col min="1" max="1" width="30" customWidth="1"/>
    <col min="2" max="2" width="22.36328125" customWidth="1"/>
    <col min="3" max="4" width="14" customWidth="1"/>
    <col min="5" max="5" width="20.26953125" customWidth="1"/>
    <col min="6" max="7" width="14" customWidth="1"/>
    <col min="8" max="8" width="16" customWidth="1"/>
  </cols>
  <sheetData>
    <row r="1" spans="1:8" ht="30" customHeight="1" x14ac:dyDescent="0.35">
      <c r="A1" s="53" t="s">
        <v>10</v>
      </c>
      <c r="B1" s="54"/>
      <c r="C1" s="54"/>
      <c r="D1" s="54"/>
      <c r="E1" s="54"/>
      <c r="F1" s="54"/>
      <c r="G1" s="54"/>
      <c r="H1" s="54"/>
    </row>
    <row r="2" spans="1:8" ht="18" customHeight="1" x14ac:dyDescent="0.35">
      <c r="A2" s="71" t="s">
        <v>68</v>
      </c>
      <c r="B2" s="54"/>
      <c r="C2" s="54"/>
      <c r="D2" s="54"/>
      <c r="E2" s="54"/>
      <c r="F2" s="54"/>
      <c r="G2" s="54"/>
      <c r="H2" s="54"/>
    </row>
    <row r="3" spans="1:8" ht="18" customHeight="1" x14ac:dyDescent="0.35">
      <c r="A3" s="2" t="s">
        <v>11</v>
      </c>
      <c r="B3" s="11">
        <v>7718</v>
      </c>
      <c r="C3" s="68"/>
      <c r="D3" s="69"/>
      <c r="E3" s="69"/>
      <c r="F3" s="69"/>
      <c r="G3" s="69"/>
      <c r="H3" s="70"/>
    </row>
    <row r="4" spans="1:8" ht="18" customHeight="1" x14ac:dyDescent="0.35">
      <c r="A4" s="5" t="s">
        <v>12</v>
      </c>
      <c r="B4" s="11">
        <v>0.2</v>
      </c>
      <c r="C4" s="68"/>
      <c r="D4" s="69"/>
      <c r="E4" s="69"/>
      <c r="F4" s="69"/>
      <c r="G4" s="69"/>
      <c r="H4" s="70"/>
    </row>
    <row r="5" spans="1:8" ht="18" customHeight="1" x14ac:dyDescent="0.35">
      <c r="A5" s="2" t="s">
        <v>13</v>
      </c>
      <c r="B5" s="11">
        <v>0.08</v>
      </c>
      <c r="C5" s="68"/>
      <c r="D5" s="69"/>
      <c r="E5" s="69"/>
      <c r="F5" s="69"/>
      <c r="G5" s="69"/>
      <c r="H5" s="70"/>
    </row>
    <row r="6" spans="1:8" ht="18" customHeight="1" x14ac:dyDescent="0.35">
      <c r="A6" s="5" t="s">
        <v>14</v>
      </c>
      <c r="B6" s="11">
        <v>0.25</v>
      </c>
      <c r="C6" s="68"/>
      <c r="D6" s="69"/>
      <c r="E6" s="69"/>
      <c r="F6" s="69"/>
      <c r="G6" s="69"/>
      <c r="H6" s="70"/>
    </row>
    <row r="7" spans="1:8" ht="18" customHeight="1" x14ac:dyDescent="0.35">
      <c r="A7" s="2" t="s">
        <v>15</v>
      </c>
      <c r="B7" s="3">
        <v>450</v>
      </c>
      <c r="C7" s="68"/>
      <c r="D7" s="69"/>
      <c r="E7" s="69"/>
      <c r="F7" s="69"/>
      <c r="G7" s="69"/>
      <c r="H7" s="70"/>
    </row>
    <row r="8" spans="1:8" ht="18" customHeight="1" x14ac:dyDescent="0.35">
      <c r="A8" s="5" t="s">
        <v>16</v>
      </c>
      <c r="B8" s="3">
        <v>432</v>
      </c>
      <c r="C8" s="68"/>
      <c r="D8" s="69"/>
      <c r="E8" s="69"/>
      <c r="F8" s="69"/>
      <c r="G8" s="69"/>
      <c r="H8" s="70"/>
    </row>
    <row r="9" spans="1:8" ht="18" customHeight="1" x14ac:dyDescent="0.35">
      <c r="A9" s="36" t="s">
        <v>67</v>
      </c>
      <c r="B9" s="3">
        <v>200</v>
      </c>
      <c r="C9" s="68"/>
      <c r="D9" s="69"/>
      <c r="E9" s="69"/>
      <c r="F9" s="69"/>
      <c r="G9" s="69"/>
      <c r="H9" s="70"/>
    </row>
    <row r="10" spans="1:8" ht="9" customHeight="1" x14ac:dyDescent="0.35"/>
    <row r="11" spans="1:8" ht="31.5" customHeight="1" x14ac:dyDescent="0.3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15</v>
      </c>
      <c r="F11" s="1" t="s">
        <v>21</v>
      </c>
      <c r="G11" s="37" t="s">
        <v>69</v>
      </c>
      <c r="H11" s="1" t="s">
        <v>22</v>
      </c>
    </row>
    <row r="12" spans="1:8" ht="18" customHeight="1" x14ac:dyDescent="0.35">
      <c r="A12" s="38" t="s">
        <v>72</v>
      </c>
      <c r="B12" s="12">
        <f>B3*(1+$B$4)</f>
        <v>9261.6</v>
      </c>
      <c r="C12" s="12">
        <f>B12*$B$5</f>
        <v>740.928</v>
      </c>
      <c r="D12" s="12">
        <f>C12*(1-$B$6)</f>
        <v>555.69600000000003</v>
      </c>
      <c r="E12" s="12">
        <f>$B$7</f>
        <v>450</v>
      </c>
      <c r="F12" s="12">
        <f>$B$8</f>
        <v>432</v>
      </c>
      <c r="G12" s="12">
        <f>$B$9</f>
        <v>200</v>
      </c>
      <c r="H12" s="12">
        <f>D12+E12-F12-G12</f>
        <v>373.69600000000003</v>
      </c>
    </row>
    <row r="13" spans="1:8" ht="18" customHeight="1" x14ac:dyDescent="0.35">
      <c r="A13" s="39" t="s">
        <v>73</v>
      </c>
      <c r="B13" s="13">
        <f>B12*(1+$B$4)</f>
        <v>11113.92</v>
      </c>
      <c r="C13" s="13">
        <f>B13*$B$5</f>
        <v>889.11360000000002</v>
      </c>
      <c r="D13" s="13">
        <f>C13*(1-$B$6)</f>
        <v>666.83519999999999</v>
      </c>
      <c r="E13" s="13">
        <f>$B$7</f>
        <v>450</v>
      </c>
      <c r="F13" s="13">
        <f>$B$8</f>
        <v>432</v>
      </c>
      <c r="G13" s="13">
        <f>$B$9</f>
        <v>200</v>
      </c>
      <c r="H13" s="13">
        <f>D13+E13-F13-G13</f>
        <v>484.83519999999999</v>
      </c>
    </row>
    <row r="14" spans="1:8" ht="18" customHeight="1" x14ac:dyDescent="0.35">
      <c r="A14" s="38" t="s">
        <v>74</v>
      </c>
      <c r="B14" s="12">
        <f>B13*(1+$B$4)</f>
        <v>13336.704</v>
      </c>
      <c r="C14" s="12">
        <f>B14*$B$5</f>
        <v>1066.93632</v>
      </c>
      <c r="D14" s="12">
        <f>C14*(1-$B$6)</f>
        <v>800.20224000000007</v>
      </c>
      <c r="E14" s="12">
        <f>$B$7</f>
        <v>450</v>
      </c>
      <c r="F14" s="12">
        <f>$B$8</f>
        <v>432</v>
      </c>
      <c r="G14" s="12">
        <f>$B$9</f>
        <v>200</v>
      </c>
      <c r="H14" s="12">
        <f>D14+E14-F14-G14</f>
        <v>618.20224000000007</v>
      </c>
    </row>
    <row r="15" spans="1:8" ht="18" customHeight="1" x14ac:dyDescent="0.35">
      <c r="A15" s="39" t="s">
        <v>75</v>
      </c>
      <c r="B15" s="13">
        <f>B14*(1+$B$4)</f>
        <v>16004.0448</v>
      </c>
      <c r="C15" s="13">
        <f>B15*$B$5</f>
        <v>1280.323584</v>
      </c>
      <c r="D15" s="13">
        <f>C15*(1-$B$6)</f>
        <v>960.24268800000004</v>
      </c>
      <c r="E15" s="13">
        <f>$B$7</f>
        <v>450</v>
      </c>
      <c r="F15" s="13">
        <f>$B$8</f>
        <v>432</v>
      </c>
      <c r="G15" s="13">
        <f>$B$9</f>
        <v>200</v>
      </c>
      <c r="H15" s="13">
        <f>D15+E15-F15-G15</f>
        <v>778.24268800000004</v>
      </c>
    </row>
    <row r="16" spans="1:8" ht="18" customHeight="1" x14ac:dyDescent="0.35">
      <c r="A16" s="38" t="s">
        <v>76</v>
      </c>
      <c r="B16" s="12">
        <f>B15*(1+$B$4)</f>
        <v>19204.853759999998</v>
      </c>
      <c r="C16" s="12">
        <f>B16*$B$5</f>
        <v>1536.3883007999998</v>
      </c>
      <c r="D16" s="12">
        <f>C16*(1-$B$6)</f>
        <v>1152.2912256</v>
      </c>
      <c r="E16" s="12">
        <f>$B$7</f>
        <v>450</v>
      </c>
      <c r="F16" s="12">
        <f>$B$8</f>
        <v>432</v>
      </c>
      <c r="G16" s="12">
        <f>$B$9</f>
        <v>200</v>
      </c>
      <c r="H16" s="12">
        <f>D16+E16-F16-G16</f>
        <v>970.29122559999996</v>
      </c>
    </row>
    <row r="17" ht="18" customHeight="1" x14ac:dyDescent="0.35"/>
    <row r="18" ht="18" customHeight="1" x14ac:dyDescent="0.35"/>
    <row r="19" ht="18" customHeight="1" x14ac:dyDescent="0.35"/>
  </sheetData>
  <mergeCells count="9">
    <mergeCell ref="A1:H1"/>
    <mergeCell ref="C6:H6"/>
    <mergeCell ref="C5:H5"/>
    <mergeCell ref="A2:H2"/>
    <mergeCell ref="C9:H9"/>
    <mergeCell ref="C8:H8"/>
    <mergeCell ref="C4:H4"/>
    <mergeCell ref="C3:H3"/>
    <mergeCell ref="C7:H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opLeftCell="A8" workbookViewId="0">
      <selection activeCell="A12" sqref="A12:C12"/>
    </sheetView>
  </sheetViews>
  <sheetFormatPr defaultRowHeight="14.5" x14ac:dyDescent="0.35"/>
  <cols>
    <col min="1" max="1" width="43.1796875" customWidth="1"/>
    <col min="2" max="2" width="29" customWidth="1"/>
    <col min="3" max="3" width="39.81640625" customWidth="1"/>
  </cols>
  <sheetData>
    <row r="1" spans="1:3" ht="30" customHeight="1" x14ac:dyDescent="0.35">
      <c r="A1" s="53" t="s">
        <v>23</v>
      </c>
      <c r="B1" s="54"/>
      <c r="C1" s="54"/>
    </row>
    <row r="2" spans="1:3" ht="18" customHeight="1" x14ac:dyDescent="0.35">
      <c r="A2" s="1" t="s">
        <v>24</v>
      </c>
      <c r="B2" s="1" t="s">
        <v>25</v>
      </c>
      <c r="C2" s="32"/>
    </row>
    <row r="3" spans="1:3" ht="18" customHeight="1" x14ac:dyDescent="0.35">
      <c r="A3" s="2" t="s">
        <v>26</v>
      </c>
      <c r="B3" s="11">
        <v>0.1467</v>
      </c>
      <c r="C3" s="33"/>
    </row>
    <row r="4" spans="1:3" ht="18" customHeight="1" x14ac:dyDescent="0.35">
      <c r="A4" s="5" t="s">
        <v>27</v>
      </c>
      <c r="B4" s="11">
        <v>0.09</v>
      </c>
      <c r="C4" s="33"/>
    </row>
    <row r="5" spans="1:3" ht="18" customHeight="1" x14ac:dyDescent="0.35">
      <c r="A5" s="2" t="s">
        <v>28</v>
      </c>
      <c r="B5" s="3">
        <v>63051</v>
      </c>
      <c r="C5" s="33"/>
    </row>
    <row r="6" spans="1:3" ht="18" customHeight="1" x14ac:dyDescent="0.35">
      <c r="A6" s="5" t="s">
        <v>29</v>
      </c>
      <c r="B6" s="3">
        <v>15</v>
      </c>
      <c r="C6" s="33"/>
    </row>
    <row r="7" spans="1:3" ht="18" customHeight="1" x14ac:dyDescent="0.35">
      <c r="A7" s="2" t="s">
        <v>14</v>
      </c>
      <c r="B7" s="11">
        <v>0.25</v>
      </c>
      <c r="C7" s="33"/>
    </row>
    <row r="8" spans="1:3" ht="18" customHeight="1" x14ac:dyDescent="0.35"/>
    <row r="9" spans="1:3" ht="18" customHeight="1" x14ac:dyDescent="0.35">
      <c r="A9" s="14" t="s">
        <v>30</v>
      </c>
      <c r="B9" s="15">
        <f>(B5/(B5+B6))*B3+(B6/(B5+B6))*B4*(1-B7)</f>
        <v>0.14668116259157071</v>
      </c>
      <c r="C9" s="14"/>
    </row>
    <row r="10" spans="1:3" ht="18" customHeight="1" x14ac:dyDescent="0.35"/>
    <row r="11" spans="1:3" ht="18" customHeight="1" x14ac:dyDescent="0.35">
      <c r="A11" s="65" t="s">
        <v>64</v>
      </c>
      <c r="B11" s="54"/>
      <c r="C11" s="54"/>
    </row>
    <row r="12" spans="1:3" ht="18" customHeight="1" x14ac:dyDescent="0.35">
      <c r="A12" s="60" t="s">
        <v>71</v>
      </c>
      <c r="B12" s="61"/>
      <c r="C12" s="61"/>
    </row>
    <row r="13" spans="1:3" ht="18" customHeight="1" x14ac:dyDescent="0.35">
      <c r="A13" s="66" t="s">
        <v>31</v>
      </c>
      <c r="B13" s="61"/>
      <c r="C13" s="61"/>
    </row>
    <row r="14" spans="1:3" ht="18" customHeight="1" x14ac:dyDescent="0.35">
      <c r="A14" s="63" t="s">
        <v>32</v>
      </c>
      <c r="B14" s="61"/>
      <c r="C14" s="61"/>
    </row>
    <row r="15" spans="1:3" ht="18" customHeight="1" x14ac:dyDescent="0.35">
      <c r="A15" s="67" t="s">
        <v>70</v>
      </c>
      <c r="B15" s="61"/>
      <c r="C15" s="61"/>
    </row>
    <row r="16" spans="1:3" ht="18" customHeight="1" x14ac:dyDescent="0.35"/>
    <row r="17" ht="18" customHeight="1" x14ac:dyDescent="0.35"/>
  </sheetData>
  <mergeCells count="6">
    <mergeCell ref="A15:C15"/>
    <mergeCell ref="A13:C13"/>
    <mergeCell ref="A11:C11"/>
    <mergeCell ref="A1:C1"/>
    <mergeCell ref="A14:C14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A9" sqref="A9:C11"/>
    </sheetView>
  </sheetViews>
  <sheetFormatPr defaultRowHeight="14.5" x14ac:dyDescent="0.35"/>
  <cols>
    <col min="1" max="1" width="36" customWidth="1"/>
    <col min="2" max="2" width="22" customWidth="1"/>
    <col min="3" max="3" width="32" customWidth="1"/>
  </cols>
  <sheetData>
    <row r="1" spans="1:5" ht="30" customHeight="1" x14ac:dyDescent="0.35">
      <c r="A1" s="72" t="s">
        <v>78</v>
      </c>
      <c r="B1" s="54"/>
      <c r="C1" s="54"/>
      <c r="E1" t="s">
        <v>80</v>
      </c>
    </row>
    <row r="2" spans="1:5" ht="18" customHeight="1" x14ac:dyDescent="0.35">
      <c r="A2" s="1" t="s">
        <v>0</v>
      </c>
      <c r="B2" s="1" t="s">
        <v>25</v>
      </c>
      <c r="C2" s="42"/>
    </row>
    <row r="3" spans="1:5" ht="18" customHeight="1" x14ac:dyDescent="0.35">
      <c r="A3" s="2" t="s">
        <v>33</v>
      </c>
      <c r="B3" s="13">
        <f>'FCFF Forecast'!H16</f>
        <v>970.29122559999996</v>
      </c>
      <c r="C3" s="43"/>
    </row>
    <row r="4" spans="1:5" ht="18" customHeight="1" x14ac:dyDescent="0.35">
      <c r="A4" s="40" t="s">
        <v>77</v>
      </c>
      <c r="B4" s="11">
        <v>0.04</v>
      </c>
      <c r="C4" s="43"/>
      <c r="E4" t="s">
        <v>79</v>
      </c>
    </row>
    <row r="5" spans="1:5" ht="18" customHeight="1" x14ac:dyDescent="0.35">
      <c r="A5" s="2" t="s">
        <v>30</v>
      </c>
      <c r="B5" s="16">
        <f>WACC!B9</f>
        <v>0.14668116259157071</v>
      </c>
      <c r="C5" s="43"/>
    </row>
    <row r="6" spans="1:5" ht="18" customHeight="1" x14ac:dyDescent="0.35">
      <c r="A6" s="5" t="s">
        <v>34</v>
      </c>
      <c r="B6" s="17">
        <f>B3*(1+B4)/(B5-B4)</f>
        <v>9459.0539708247725</v>
      </c>
      <c r="C6" s="42"/>
    </row>
    <row r="7" spans="1:5" ht="18" customHeight="1" x14ac:dyDescent="0.35"/>
    <row r="8" spans="1:5" ht="18" customHeight="1" x14ac:dyDescent="0.35">
      <c r="A8" s="44" t="s">
        <v>81</v>
      </c>
      <c r="B8" s="41"/>
      <c r="C8" s="41"/>
    </row>
    <row r="9" spans="1:5" ht="18" customHeight="1" x14ac:dyDescent="0.35">
      <c r="A9" s="73" t="s">
        <v>82</v>
      </c>
      <c r="B9" s="73"/>
      <c r="C9" s="73"/>
    </row>
    <row r="10" spans="1:5" ht="18" customHeight="1" x14ac:dyDescent="0.35">
      <c r="A10" s="73"/>
      <c r="B10" s="73"/>
      <c r="C10" s="73"/>
    </row>
    <row r="11" spans="1:5" ht="18" customHeight="1" x14ac:dyDescent="0.35">
      <c r="A11" s="73"/>
      <c r="B11" s="73"/>
      <c r="C11" s="73"/>
    </row>
    <row r="12" spans="1:5" ht="18" customHeight="1" x14ac:dyDescent="0.35"/>
    <row r="13" spans="1:5" ht="18" customHeight="1" x14ac:dyDescent="0.35"/>
  </sheetData>
  <mergeCells count="2">
    <mergeCell ref="A1:C1"/>
    <mergeCell ref="A9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C6" sqref="C6"/>
    </sheetView>
  </sheetViews>
  <sheetFormatPr defaultRowHeight="14.5" x14ac:dyDescent="0.35"/>
  <cols>
    <col min="1" max="1" width="28" customWidth="1"/>
    <col min="2" max="2" width="22.1796875" customWidth="1"/>
    <col min="3" max="3" width="22.81640625" customWidth="1"/>
    <col min="4" max="4" width="30" customWidth="1"/>
  </cols>
  <sheetData>
    <row r="1" spans="1:8" ht="30" customHeight="1" x14ac:dyDescent="0.35">
      <c r="A1" s="53" t="s">
        <v>35</v>
      </c>
      <c r="B1" s="54"/>
      <c r="C1" s="54"/>
      <c r="D1" s="54"/>
    </row>
    <row r="2" spans="1:8" ht="18" customHeight="1" x14ac:dyDescent="0.35">
      <c r="A2" s="1" t="s">
        <v>36</v>
      </c>
      <c r="B2" s="1" t="s">
        <v>37</v>
      </c>
      <c r="C2" s="1" t="s">
        <v>38</v>
      </c>
      <c r="D2" s="32"/>
    </row>
    <row r="3" spans="1:8" ht="18" customHeight="1" x14ac:dyDescent="0.35">
      <c r="A3" s="2" t="s">
        <v>39</v>
      </c>
      <c r="B3" s="18">
        <v>-63.23</v>
      </c>
      <c r="C3" s="18">
        <v>-50.44</v>
      </c>
      <c r="D3" s="33"/>
    </row>
    <row r="4" spans="1:8" ht="18" customHeight="1" x14ac:dyDescent="0.35">
      <c r="A4" s="40" t="s">
        <v>84</v>
      </c>
      <c r="B4" s="18">
        <v>43.73</v>
      </c>
      <c r="C4" s="18">
        <v>21.36</v>
      </c>
      <c r="D4" s="33"/>
    </row>
    <row r="5" spans="1:8" ht="18" customHeight="1" x14ac:dyDescent="0.35">
      <c r="A5" s="2" t="s">
        <v>40</v>
      </c>
      <c r="B5" s="18">
        <v>-15.78</v>
      </c>
      <c r="C5" s="18">
        <v>-21.04</v>
      </c>
      <c r="D5" s="33"/>
    </row>
    <row r="6" spans="1:8" ht="18" customHeight="1" x14ac:dyDescent="0.35">
      <c r="A6" s="6" t="s">
        <v>41</v>
      </c>
      <c r="B6" s="1">
        <f>AVERAGE(B3:B5)</f>
        <v>-11.76</v>
      </c>
      <c r="C6" s="19">
        <f>AVERAGE(C3:C5)</f>
        <v>-16.706666666666667</v>
      </c>
      <c r="D6" s="34"/>
      <c r="F6" t="s">
        <v>91</v>
      </c>
    </row>
    <row r="7" spans="1:8" ht="18" customHeight="1" x14ac:dyDescent="0.35"/>
    <row r="8" spans="1:8" ht="18" customHeight="1" x14ac:dyDescent="0.35">
      <c r="A8" s="74" t="s">
        <v>42</v>
      </c>
      <c r="B8" s="54"/>
      <c r="C8" s="54"/>
      <c r="D8" s="54"/>
    </row>
    <row r="9" spans="1:8" ht="18" customHeight="1" x14ac:dyDescent="0.35">
      <c r="A9" s="36" t="s">
        <v>43</v>
      </c>
      <c r="B9" s="47">
        <v>-88</v>
      </c>
      <c r="C9" s="45"/>
      <c r="D9" s="46"/>
      <c r="H9" s="48"/>
    </row>
    <row r="10" spans="1:8" ht="18" customHeight="1" x14ac:dyDescent="0.35">
      <c r="A10" s="40" t="s">
        <v>85</v>
      </c>
      <c r="B10" s="47">
        <v>194</v>
      </c>
      <c r="C10" s="45"/>
      <c r="D10" s="46"/>
    </row>
    <row r="11" spans="1:8" ht="18" customHeight="1" x14ac:dyDescent="0.35">
      <c r="A11" s="5" t="s">
        <v>44</v>
      </c>
      <c r="B11" s="47">
        <v>-9.44</v>
      </c>
      <c r="C11" s="45"/>
      <c r="D11" s="46"/>
    </row>
    <row r="12" spans="1:8" ht="18" customHeight="1" x14ac:dyDescent="0.35">
      <c r="C12" s="35"/>
      <c r="D12" s="35"/>
    </row>
    <row r="13" spans="1:8" ht="18" customHeight="1" x14ac:dyDescent="0.35"/>
    <row r="14" spans="1:8" ht="18" customHeight="1" x14ac:dyDescent="0.35"/>
    <row r="15" spans="1:8" ht="18" customHeight="1" x14ac:dyDescent="0.35"/>
    <row r="16" spans="1:8" ht="18" customHeight="1" x14ac:dyDescent="0.35"/>
  </sheetData>
  <mergeCells count="2">
    <mergeCell ref="A1:D1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sqref="A1:C1"/>
    </sheetView>
  </sheetViews>
  <sheetFormatPr defaultRowHeight="14.5" x14ac:dyDescent="0.35"/>
  <cols>
    <col min="1" max="1" width="32" customWidth="1"/>
    <col min="2" max="2" width="24" customWidth="1"/>
    <col min="3" max="3" width="30" customWidth="1"/>
  </cols>
  <sheetData>
    <row r="1" spans="1:3" ht="30" customHeight="1" x14ac:dyDescent="0.35">
      <c r="A1" s="53" t="s">
        <v>45</v>
      </c>
      <c r="B1" s="54"/>
      <c r="C1" s="54"/>
    </row>
    <row r="2" spans="1:3" ht="20" customHeight="1" x14ac:dyDescent="0.35">
      <c r="A2" s="1" t="s">
        <v>46</v>
      </c>
      <c r="B2" s="1" t="s">
        <v>47</v>
      </c>
      <c r="C2" s="50" t="s">
        <v>48</v>
      </c>
    </row>
    <row r="3" spans="1:3" ht="20" customHeight="1" x14ac:dyDescent="0.35">
      <c r="A3" s="20" t="s">
        <v>49</v>
      </c>
      <c r="B3" s="21">
        <f>'EV vs Equity Value'!B3</f>
        <v>63051</v>
      </c>
      <c r="C3" s="51"/>
    </row>
    <row r="4" spans="1:3" ht="20" customHeight="1" x14ac:dyDescent="0.35">
      <c r="A4" s="22" t="s">
        <v>6</v>
      </c>
      <c r="B4" s="23">
        <f>'EV vs Equity Value'!B7</f>
        <v>50137</v>
      </c>
      <c r="C4" s="51"/>
    </row>
    <row r="5" spans="1:3" ht="20" customHeight="1" x14ac:dyDescent="0.35">
      <c r="A5" s="20" t="s">
        <v>50</v>
      </c>
      <c r="B5" s="21">
        <f>'Terminal Value'!B6</f>
        <v>9459.0539708247725</v>
      </c>
      <c r="C5" s="51"/>
    </row>
    <row r="6" spans="1:3" ht="20" customHeight="1" x14ac:dyDescent="0.35">
      <c r="A6" s="22" t="s">
        <v>51</v>
      </c>
      <c r="B6" s="23">
        <f>'Comparable Analysis'!C6</f>
        <v>-16.706666666666667</v>
      </c>
      <c r="C6" s="51"/>
    </row>
    <row r="7" spans="1:3" ht="20" customHeight="1" x14ac:dyDescent="0.35"/>
    <row r="8" spans="1:3" ht="20" customHeight="1" x14ac:dyDescent="0.35">
      <c r="A8" s="57" t="s">
        <v>52</v>
      </c>
      <c r="B8" s="57"/>
      <c r="C8" s="57"/>
    </row>
    <row r="9" spans="1:3" ht="44.5" customHeight="1" x14ac:dyDescent="0.35">
      <c r="A9" s="24" t="s">
        <v>53</v>
      </c>
      <c r="B9" s="25" t="s">
        <v>54</v>
      </c>
      <c r="C9" s="10" t="s">
        <v>87</v>
      </c>
    </row>
    <row r="10" spans="1:3" ht="32" customHeight="1" x14ac:dyDescent="0.35">
      <c r="A10" s="26" t="s">
        <v>55</v>
      </c>
      <c r="B10" s="27" t="s">
        <v>56</v>
      </c>
      <c r="C10" s="28" t="s">
        <v>86</v>
      </c>
    </row>
    <row r="11" spans="1:3" ht="43" customHeight="1" x14ac:dyDescent="0.35">
      <c r="A11" s="29" t="s">
        <v>57</v>
      </c>
      <c r="B11" s="30" t="s">
        <v>58</v>
      </c>
      <c r="C11" s="31" t="s">
        <v>59</v>
      </c>
    </row>
    <row r="12" spans="1:3" ht="20" customHeight="1" x14ac:dyDescent="0.35"/>
    <row r="13" spans="1:3" ht="20" customHeight="1" x14ac:dyDescent="0.35">
      <c r="A13" s="52" t="s">
        <v>88</v>
      </c>
      <c r="B13" s="52"/>
      <c r="C13" s="52"/>
    </row>
    <row r="14" spans="1:3" ht="36.5" customHeight="1" x14ac:dyDescent="0.35">
      <c r="A14" s="55" t="s">
        <v>60</v>
      </c>
      <c r="B14" s="56"/>
      <c r="C14" s="56"/>
    </row>
    <row r="15" spans="1:3" ht="33.5" customHeight="1" x14ac:dyDescent="0.35">
      <c r="A15" s="58" t="s">
        <v>61</v>
      </c>
      <c r="B15" s="59"/>
      <c r="C15" s="59"/>
    </row>
    <row r="16" spans="1:3" ht="32" customHeight="1" x14ac:dyDescent="0.35">
      <c r="A16" s="55" t="s">
        <v>90</v>
      </c>
      <c r="B16" s="56"/>
      <c r="C16" s="56"/>
    </row>
    <row r="17" spans="1:3" ht="26.5" customHeight="1" x14ac:dyDescent="0.35">
      <c r="A17" s="58" t="s">
        <v>89</v>
      </c>
      <c r="B17" s="59"/>
      <c r="C17" s="59"/>
    </row>
    <row r="18" spans="1:3" ht="20" customHeight="1" x14ac:dyDescent="0.35"/>
    <row r="19" spans="1:3" ht="20" customHeight="1" x14ac:dyDescent="0.35"/>
    <row r="20" spans="1:3" ht="20" customHeight="1" x14ac:dyDescent="0.35"/>
    <row r="21" spans="1:3" ht="20" customHeight="1" x14ac:dyDescent="0.35"/>
  </sheetData>
  <mergeCells count="7">
    <mergeCell ref="A13:C13"/>
    <mergeCell ref="A1:C1"/>
    <mergeCell ref="A14:C14"/>
    <mergeCell ref="A8:C8"/>
    <mergeCell ref="A17:C17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 vs Equity Value</vt:lpstr>
      <vt:lpstr>FCFF Forecast</vt:lpstr>
      <vt:lpstr>WACC</vt:lpstr>
      <vt:lpstr>Terminal Value</vt:lpstr>
      <vt:lpstr>Comparable Analysis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parashar</cp:lastModifiedBy>
  <dcterms:created xsi:type="dcterms:W3CDTF">2026-03-31T03:13:17Z</dcterms:created>
  <dcterms:modified xsi:type="dcterms:W3CDTF">2026-04-16T08:40:25Z</dcterms:modified>
</cp:coreProperties>
</file>