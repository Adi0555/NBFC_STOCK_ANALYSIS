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39C6869-C2D2-45B2-89C2-3D50746E68BA}" xr6:coauthVersionLast="47" xr6:coauthVersionMax="47" xr10:uidLastSave="{00000000-0000-0000-0000-000000000000}"/>
  <bookViews>
    <workbookView xWindow="-110" yWindow="-110" windowWidth="19420" windowHeight="10300" xr2:uid="{DF103226-28BE-47C7-B5DF-2D071347277C}"/>
  </bookViews>
  <sheets>
    <sheet name="RSI_&amp;_MA" sheetId="1" r:id="rId1"/>
    <sheet name="Trade Log" sheetId="2" r:id="rId2"/>
    <sheet name="PortFolio Retur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D10" i="3"/>
  <c r="C10" i="3"/>
  <c r="B10" i="3"/>
  <c r="E9" i="3"/>
  <c r="G6" i="3"/>
  <c r="F6" i="3"/>
  <c r="G5" i="3"/>
  <c r="G3" i="3"/>
  <c r="G4" i="3"/>
  <c r="G2" i="3"/>
  <c r="F4" i="3"/>
  <c r="F3" i="3"/>
  <c r="F2" i="3"/>
  <c r="C9" i="3"/>
  <c r="D9" i="3"/>
  <c r="B9" i="3"/>
  <c r="E2" i="3"/>
  <c r="D4" i="3"/>
  <c r="D8" i="3"/>
  <c r="D7" i="3"/>
  <c r="C8" i="3"/>
  <c r="C7" i="3"/>
  <c r="B8" i="3"/>
  <c r="B7" i="3"/>
  <c r="J251" i="1"/>
  <c r="X83" i="1"/>
  <c r="C4" i="3"/>
  <c r="C3" i="3"/>
  <c r="C2" i="3"/>
  <c r="C5" i="3" s="1"/>
  <c r="B4" i="3"/>
  <c r="B3" i="3"/>
  <c r="E3" i="3" s="1"/>
  <c r="B2" i="3"/>
  <c r="D2" i="3" s="1"/>
  <c r="M22" i="2"/>
  <c r="H15" i="2"/>
  <c r="J18" i="2" s="1"/>
  <c r="H13" i="2"/>
  <c r="I12" i="2"/>
  <c r="H9" i="2"/>
  <c r="I18" i="2"/>
  <c r="H16" i="2"/>
  <c r="I14" i="2"/>
  <c r="J14" i="2" s="1"/>
  <c r="I11" i="2"/>
  <c r="I17" i="2"/>
  <c r="I21" i="2"/>
  <c r="I10" i="2"/>
  <c r="I6" i="2"/>
  <c r="I4" i="2"/>
  <c r="I7" i="2"/>
  <c r="H10" i="2"/>
  <c r="H8" i="2"/>
  <c r="H20" i="2"/>
  <c r="I19" i="2"/>
  <c r="J19" i="2" s="1"/>
  <c r="H3" i="2"/>
  <c r="H5" i="2"/>
  <c r="H2" i="2"/>
  <c r="W4" i="1"/>
  <c r="Y4" i="1" s="1"/>
  <c r="W5" i="1"/>
  <c r="Y5" i="1" s="1"/>
  <c r="W6" i="1"/>
  <c r="Y6" i="1" s="1"/>
  <c r="W7" i="1"/>
  <c r="Y7" i="1" s="1"/>
  <c r="W8" i="1"/>
  <c r="Y8" i="1" s="1"/>
  <c r="W9" i="1"/>
  <c r="Y9" i="1" s="1"/>
  <c r="W10" i="1"/>
  <c r="Y10" i="1" s="1"/>
  <c r="W11" i="1"/>
  <c r="Y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Y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Y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Y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Y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Y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Y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Y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Y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Y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Y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Y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Y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Y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Y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Y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Y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Y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Y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Y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Y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Y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Y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Y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Y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Y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Y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Y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Y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Y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3" i="1"/>
  <c r="X3" i="1" s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0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5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1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6" i="1"/>
  <c r="P4" i="1"/>
  <c r="R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R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R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R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R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R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R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R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R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R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R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R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3" i="1"/>
  <c r="Q3" i="1" s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0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5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K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K33" i="1" s="1"/>
  <c r="I34" i="1"/>
  <c r="K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K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K65" i="1" s="1"/>
  <c r="I66" i="1"/>
  <c r="K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K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K97" i="1" s="1"/>
  <c r="I98" i="1"/>
  <c r="K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K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K129" i="1" s="1"/>
  <c r="I130" i="1"/>
  <c r="K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K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K161" i="1" s="1"/>
  <c r="I162" i="1"/>
  <c r="K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K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K193" i="1" s="1"/>
  <c r="I194" i="1"/>
  <c r="K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K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K225" i="1" s="1"/>
  <c r="I226" i="1"/>
  <c r="K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K249" i="1" s="1"/>
  <c r="I250" i="1"/>
  <c r="J250" i="1" s="1"/>
  <c r="I3" i="1"/>
  <c r="J3" i="1" s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0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5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1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6" i="1"/>
  <c r="B5" i="3" l="1"/>
  <c r="D3" i="3"/>
  <c r="E4" i="3"/>
  <c r="X75" i="1"/>
  <c r="X43" i="1"/>
  <c r="X19" i="1"/>
  <c r="X11" i="1"/>
  <c r="Y202" i="1"/>
  <c r="X203" i="1"/>
  <c r="Y138" i="1"/>
  <c r="X139" i="1"/>
  <c r="Y74" i="1"/>
  <c r="X195" i="1"/>
  <c r="X131" i="1"/>
  <c r="X67" i="1"/>
  <c r="Y3" i="1"/>
  <c r="Y194" i="1"/>
  <c r="Y130" i="1"/>
  <c r="Y66" i="1"/>
  <c r="X187" i="1"/>
  <c r="X123" i="1"/>
  <c r="X59" i="1"/>
  <c r="Y250" i="1"/>
  <c r="Y186" i="1"/>
  <c r="Y122" i="1"/>
  <c r="Y58" i="1"/>
  <c r="X243" i="1"/>
  <c r="X179" i="1"/>
  <c r="X115" i="1"/>
  <c r="X51" i="1"/>
  <c r="Y242" i="1"/>
  <c r="Y178" i="1"/>
  <c r="Y114" i="1"/>
  <c r="Y50" i="1"/>
  <c r="X235" i="1"/>
  <c r="X171" i="1"/>
  <c r="X107" i="1"/>
  <c r="Y234" i="1"/>
  <c r="Y170" i="1"/>
  <c r="Y106" i="1"/>
  <c r="Y42" i="1"/>
  <c r="X227" i="1"/>
  <c r="X163" i="1"/>
  <c r="X99" i="1"/>
  <c r="X35" i="1"/>
  <c r="Y226" i="1"/>
  <c r="Y162" i="1"/>
  <c r="Y98" i="1"/>
  <c r="Y34" i="1"/>
  <c r="X219" i="1"/>
  <c r="X155" i="1"/>
  <c r="X91" i="1"/>
  <c r="X27" i="1"/>
  <c r="Y218" i="1"/>
  <c r="Y154" i="1"/>
  <c r="Y90" i="1"/>
  <c r="Y26" i="1"/>
  <c r="X211" i="1"/>
  <c r="X147" i="1"/>
  <c r="Y210" i="1"/>
  <c r="Y146" i="1"/>
  <c r="Y82" i="1"/>
  <c r="Y18" i="1"/>
  <c r="R203" i="1"/>
  <c r="X10" i="1"/>
  <c r="Y249" i="1"/>
  <c r="Y241" i="1"/>
  <c r="Y233" i="1"/>
  <c r="Y225" i="1"/>
  <c r="Y217" i="1"/>
  <c r="Y209" i="1"/>
  <c r="Y201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Y25" i="1"/>
  <c r="Y17" i="1"/>
  <c r="R139" i="1"/>
  <c r="X9" i="1"/>
  <c r="Y248" i="1"/>
  <c r="Y240" i="1"/>
  <c r="Y232" i="1"/>
  <c r="Y224" i="1"/>
  <c r="Y216" i="1"/>
  <c r="Y208" i="1"/>
  <c r="Y200" i="1"/>
  <c r="Y192" i="1"/>
  <c r="Y184" i="1"/>
  <c r="Y176" i="1"/>
  <c r="Y168" i="1"/>
  <c r="Y160" i="1"/>
  <c r="Y152" i="1"/>
  <c r="Y144" i="1"/>
  <c r="Y136" i="1"/>
  <c r="Y128" i="1"/>
  <c r="Y120" i="1"/>
  <c r="Y112" i="1"/>
  <c r="Y104" i="1"/>
  <c r="Y96" i="1"/>
  <c r="Y88" i="1"/>
  <c r="Y80" i="1"/>
  <c r="Y72" i="1"/>
  <c r="Y64" i="1"/>
  <c r="Y56" i="1"/>
  <c r="Y48" i="1"/>
  <c r="Y40" i="1"/>
  <c r="Y32" i="1"/>
  <c r="Y24" i="1"/>
  <c r="Y16" i="1"/>
  <c r="R75" i="1"/>
  <c r="X8" i="1"/>
  <c r="Y247" i="1"/>
  <c r="Y239" i="1"/>
  <c r="Y231" i="1"/>
  <c r="Y223" i="1"/>
  <c r="Y215" i="1"/>
  <c r="Y207" i="1"/>
  <c r="Y199" i="1"/>
  <c r="Y191" i="1"/>
  <c r="Y183" i="1"/>
  <c r="Y175" i="1"/>
  <c r="Y167" i="1"/>
  <c r="Y159" i="1"/>
  <c r="Y151" i="1"/>
  <c r="Y143" i="1"/>
  <c r="Y135" i="1"/>
  <c r="Y127" i="1"/>
  <c r="Y119" i="1"/>
  <c r="Y111" i="1"/>
  <c r="Y103" i="1"/>
  <c r="Y95" i="1"/>
  <c r="Y87" i="1"/>
  <c r="Y79" i="1"/>
  <c r="Y71" i="1"/>
  <c r="Y63" i="1"/>
  <c r="Y55" i="1"/>
  <c r="Y47" i="1"/>
  <c r="Y39" i="1"/>
  <c r="Y31" i="1"/>
  <c r="Y23" i="1"/>
  <c r="Y15" i="1"/>
  <c r="R11" i="1"/>
  <c r="X7" i="1"/>
  <c r="Y246" i="1"/>
  <c r="Y238" i="1"/>
  <c r="Y230" i="1"/>
  <c r="Y222" i="1"/>
  <c r="Y214" i="1"/>
  <c r="Y206" i="1"/>
  <c r="Y198" i="1"/>
  <c r="Y190" i="1"/>
  <c r="Y182" i="1"/>
  <c r="Y174" i="1"/>
  <c r="Y166" i="1"/>
  <c r="Y158" i="1"/>
  <c r="Y150" i="1"/>
  <c r="Y142" i="1"/>
  <c r="Y134" i="1"/>
  <c r="Y126" i="1"/>
  <c r="Y118" i="1"/>
  <c r="Y110" i="1"/>
  <c r="Y102" i="1"/>
  <c r="Y94" i="1"/>
  <c r="Y86" i="1"/>
  <c r="Y78" i="1"/>
  <c r="Y70" i="1"/>
  <c r="Y62" i="1"/>
  <c r="Y54" i="1"/>
  <c r="Y46" i="1"/>
  <c r="Y38" i="1"/>
  <c r="Y30" i="1"/>
  <c r="Y22" i="1"/>
  <c r="Y14" i="1"/>
  <c r="Q219" i="1"/>
  <c r="X6" i="1"/>
  <c r="Y245" i="1"/>
  <c r="Y237" i="1"/>
  <c r="Y229" i="1"/>
  <c r="Y221" i="1"/>
  <c r="Y213" i="1"/>
  <c r="Y205" i="1"/>
  <c r="Y197" i="1"/>
  <c r="Y189" i="1"/>
  <c r="Y181" i="1"/>
  <c r="Y173" i="1"/>
  <c r="Y165" i="1"/>
  <c r="Y157" i="1"/>
  <c r="Y149" i="1"/>
  <c r="Y141" i="1"/>
  <c r="Y133" i="1"/>
  <c r="Y125" i="1"/>
  <c r="Y117" i="1"/>
  <c r="Y109" i="1"/>
  <c r="Y101" i="1"/>
  <c r="Y93" i="1"/>
  <c r="Y85" i="1"/>
  <c r="Y77" i="1"/>
  <c r="Y69" i="1"/>
  <c r="Y61" i="1"/>
  <c r="Y53" i="1"/>
  <c r="Y45" i="1"/>
  <c r="Y37" i="1"/>
  <c r="Y29" i="1"/>
  <c r="Y21" i="1"/>
  <c r="Y13" i="1"/>
  <c r="Q155" i="1"/>
  <c r="X5" i="1"/>
  <c r="Y244" i="1"/>
  <c r="Y236" i="1"/>
  <c r="Y228" i="1"/>
  <c r="Y220" i="1"/>
  <c r="Y212" i="1"/>
  <c r="Y204" i="1"/>
  <c r="Y196" i="1"/>
  <c r="Y188" i="1"/>
  <c r="Y180" i="1"/>
  <c r="Y172" i="1"/>
  <c r="Y164" i="1"/>
  <c r="Y156" i="1"/>
  <c r="Y148" i="1"/>
  <c r="Y140" i="1"/>
  <c r="Y132" i="1"/>
  <c r="Y124" i="1"/>
  <c r="Y116" i="1"/>
  <c r="Y108" i="1"/>
  <c r="Y100" i="1"/>
  <c r="Y92" i="1"/>
  <c r="Y84" i="1"/>
  <c r="Y76" i="1"/>
  <c r="Y68" i="1"/>
  <c r="Y60" i="1"/>
  <c r="Y52" i="1"/>
  <c r="Y44" i="1"/>
  <c r="Y36" i="1"/>
  <c r="Y28" i="1"/>
  <c r="Y20" i="1"/>
  <c r="Y12" i="1"/>
  <c r="Q91" i="1"/>
  <c r="X4" i="1"/>
  <c r="Q147" i="1"/>
  <c r="R3" i="1"/>
  <c r="R187" i="1"/>
  <c r="R123" i="1"/>
  <c r="R59" i="1"/>
  <c r="Q20" i="1"/>
  <c r="R243" i="1"/>
  <c r="R179" i="1"/>
  <c r="R115" i="1"/>
  <c r="R51" i="1"/>
  <c r="Q12" i="1"/>
  <c r="Q195" i="1"/>
  <c r="Q131" i="1"/>
  <c r="Q67" i="1"/>
  <c r="Q83" i="1"/>
  <c r="R235" i="1"/>
  <c r="R171" i="1"/>
  <c r="R107" i="1"/>
  <c r="R43" i="1"/>
  <c r="Q4" i="1"/>
  <c r="Q211" i="1"/>
  <c r="R227" i="1"/>
  <c r="R163" i="1"/>
  <c r="R99" i="1"/>
  <c r="R35" i="1"/>
  <c r="R27" i="1"/>
  <c r="R19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R249" i="1"/>
  <c r="R241" i="1"/>
  <c r="R233" i="1"/>
  <c r="R225" i="1"/>
  <c r="R217" i="1"/>
  <c r="R209" i="1"/>
  <c r="R201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R25" i="1"/>
  <c r="R17" i="1"/>
  <c r="R9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8" i="1"/>
  <c r="R247" i="1"/>
  <c r="R239" i="1"/>
  <c r="R231" i="1"/>
  <c r="R223" i="1"/>
  <c r="R215" i="1"/>
  <c r="R207" i="1"/>
  <c r="R199" i="1"/>
  <c r="R191" i="1"/>
  <c r="R183" i="1"/>
  <c r="R175" i="1"/>
  <c r="R167" i="1"/>
  <c r="R159" i="1"/>
  <c r="R151" i="1"/>
  <c r="R143" i="1"/>
  <c r="R135" i="1"/>
  <c r="R127" i="1"/>
  <c r="R119" i="1"/>
  <c r="R111" i="1"/>
  <c r="R103" i="1"/>
  <c r="R95" i="1"/>
  <c r="R87" i="1"/>
  <c r="R79" i="1"/>
  <c r="R71" i="1"/>
  <c r="R63" i="1"/>
  <c r="R55" i="1"/>
  <c r="R47" i="1"/>
  <c r="R39" i="1"/>
  <c r="R31" i="1"/>
  <c r="R23" i="1"/>
  <c r="R15" i="1"/>
  <c r="R7" i="1"/>
  <c r="R246" i="1"/>
  <c r="R238" i="1"/>
  <c r="R230" i="1"/>
  <c r="R222" i="1"/>
  <c r="R214" i="1"/>
  <c r="R206" i="1"/>
  <c r="R198" i="1"/>
  <c r="R190" i="1"/>
  <c r="R182" i="1"/>
  <c r="R174" i="1"/>
  <c r="R166" i="1"/>
  <c r="R158" i="1"/>
  <c r="R150" i="1"/>
  <c r="R142" i="1"/>
  <c r="R134" i="1"/>
  <c r="R126" i="1"/>
  <c r="R118" i="1"/>
  <c r="R110" i="1"/>
  <c r="R102" i="1"/>
  <c r="R94" i="1"/>
  <c r="R86" i="1"/>
  <c r="R78" i="1"/>
  <c r="R70" i="1"/>
  <c r="R62" i="1"/>
  <c r="R54" i="1"/>
  <c r="R46" i="1"/>
  <c r="R38" i="1"/>
  <c r="R30" i="1"/>
  <c r="R22" i="1"/>
  <c r="R14" i="1"/>
  <c r="R6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244" i="1"/>
  <c r="R236" i="1"/>
  <c r="R228" i="1"/>
  <c r="R220" i="1"/>
  <c r="R212" i="1"/>
  <c r="R204" i="1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28" i="1"/>
  <c r="J25" i="1"/>
  <c r="K227" i="1"/>
  <c r="K195" i="1"/>
  <c r="K163" i="1"/>
  <c r="K131" i="1"/>
  <c r="J162" i="1"/>
  <c r="K99" i="1"/>
  <c r="J153" i="1"/>
  <c r="K67" i="1"/>
  <c r="J34" i="1"/>
  <c r="K35" i="1"/>
  <c r="K32" i="1"/>
  <c r="J130" i="1"/>
  <c r="K3" i="1"/>
  <c r="K219" i="1"/>
  <c r="K187" i="1"/>
  <c r="K155" i="1"/>
  <c r="K123" i="1"/>
  <c r="K91" i="1"/>
  <c r="K59" i="1"/>
  <c r="K27" i="1"/>
  <c r="K64" i="1"/>
  <c r="J249" i="1"/>
  <c r="J121" i="1"/>
  <c r="K248" i="1"/>
  <c r="K216" i="1"/>
  <c r="K184" i="1"/>
  <c r="K152" i="1"/>
  <c r="K120" i="1"/>
  <c r="K88" i="1"/>
  <c r="K56" i="1"/>
  <c r="K24" i="1"/>
  <c r="K128" i="1"/>
  <c r="J226" i="1"/>
  <c r="J98" i="1"/>
  <c r="K243" i="1"/>
  <c r="K211" i="1"/>
  <c r="K179" i="1"/>
  <c r="K147" i="1"/>
  <c r="K115" i="1"/>
  <c r="K83" i="1"/>
  <c r="K51" i="1"/>
  <c r="K19" i="1"/>
  <c r="K96" i="1"/>
  <c r="J217" i="1"/>
  <c r="J89" i="1"/>
  <c r="K240" i="1"/>
  <c r="K208" i="1"/>
  <c r="K176" i="1"/>
  <c r="K144" i="1"/>
  <c r="K112" i="1"/>
  <c r="K80" i="1"/>
  <c r="K48" i="1"/>
  <c r="K16" i="1"/>
  <c r="K192" i="1"/>
  <c r="J194" i="1"/>
  <c r="J66" i="1"/>
  <c r="K235" i="1"/>
  <c r="K203" i="1"/>
  <c r="K171" i="1"/>
  <c r="K139" i="1"/>
  <c r="K107" i="1"/>
  <c r="K75" i="1"/>
  <c r="K43" i="1"/>
  <c r="K11" i="1"/>
  <c r="K224" i="1"/>
  <c r="K160" i="1"/>
  <c r="J185" i="1"/>
  <c r="J57" i="1"/>
  <c r="K232" i="1"/>
  <c r="K200" i="1"/>
  <c r="K168" i="1"/>
  <c r="K136" i="1"/>
  <c r="K104" i="1"/>
  <c r="K72" i="1"/>
  <c r="K40" i="1"/>
  <c r="K8" i="1"/>
  <c r="J225" i="1"/>
  <c r="J193" i="1"/>
  <c r="J161" i="1"/>
  <c r="J129" i="1"/>
  <c r="J97" i="1"/>
  <c r="J65" i="1"/>
  <c r="J33" i="1"/>
  <c r="K250" i="1"/>
  <c r="K242" i="1"/>
  <c r="K234" i="1"/>
  <c r="K218" i="1"/>
  <c r="K210" i="1"/>
  <c r="K202" i="1"/>
  <c r="K186" i="1"/>
  <c r="K178" i="1"/>
  <c r="K170" i="1"/>
  <c r="K154" i="1"/>
  <c r="K146" i="1"/>
  <c r="K138" i="1"/>
  <c r="K122" i="1"/>
  <c r="K114" i="1"/>
  <c r="K106" i="1"/>
  <c r="K90" i="1"/>
  <c r="K82" i="1"/>
  <c r="K74" i="1"/>
  <c r="K58" i="1"/>
  <c r="K50" i="1"/>
  <c r="K42" i="1"/>
  <c r="K26" i="1"/>
  <c r="K18" i="1"/>
  <c r="K10" i="1"/>
  <c r="K241" i="1"/>
  <c r="K233" i="1"/>
  <c r="K209" i="1"/>
  <c r="K201" i="1"/>
  <c r="K177" i="1"/>
  <c r="K169" i="1"/>
  <c r="K145" i="1"/>
  <c r="K137" i="1"/>
  <c r="K113" i="1"/>
  <c r="K105" i="1"/>
  <c r="K81" i="1"/>
  <c r="K73" i="1"/>
  <c r="K49" i="1"/>
  <c r="K41" i="1"/>
  <c r="K17" i="1"/>
  <c r="K9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4" i="1"/>
  <c r="J22" i="2"/>
  <c r="J12" i="2"/>
  <c r="J11" i="2"/>
  <c r="J17" i="2"/>
  <c r="J21" i="2"/>
  <c r="J6" i="2"/>
  <c r="J4" i="2"/>
  <c r="J7" i="2"/>
  <c r="F5" i="3" l="1"/>
</calcChain>
</file>

<file path=xl/sharedStrings.xml><?xml version="1.0" encoding="utf-8"?>
<sst xmlns="http://schemas.openxmlformats.org/spreadsheetml/2006/main" count="105" uniqueCount="52">
  <si>
    <t xml:space="preserve">Date </t>
  </si>
  <si>
    <t>Bajaj</t>
  </si>
  <si>
    <t>Bajaj_5</t>
  </si>
  <si>
    <t>Bajaj_20</t>
  </si>
  <si>
    <t>Bajaj_50</t>
  </si>
  <si>
    <t>Bajaj_200</t>
  </si>
  <si>
    <t>RSI</t>
  </si>
  <si>
    <t>Jio_Fin</t>
  </si>
  <si>
    <t>Chola_Fin</t>
  </si>
  <si>
    <t>Jio-5</t>
  </si>
  <si>
    <t>Jio-20</t>
  </si>
  <si>
    <t>Jio_50</t>
  </si>
  <si>
    <t>Jio_200</t>
  </si>
  <si>
    <t>Chola_5</t>
  </si>
  <si>
    <t>Chola_20</t>
  </si>
  <si>
    <t>Chola_50</t>
  </si>
  <si>
    <t>Chola_200</t>
  </si>
  <si>
    <t>Date</t>
  </si>
  <si>
    <t>Company</t>
  </si>
  <si>
    <t>Action</t>
  </si>
  <si>
    <t>Qty</t>
  </si>
  <si>
    <t>Entry Price (₹)</t>
  </si>
  <si>
    <t>Exit Price (₹)</t>
  </si>
  <si>
    <t>Amount Invested (₹)</t>
  </si>
  <si>
    <t>Amount Received (₹)</t>
  </si>
  <si>
    <t>P&amp;L (₹)</t>
  </si>
  <si>
    <t>Bajaj Finserv</t>
  </si>
  <si>
    <t>BUY</t>
  </si>
  <si>
    <t>-</t>
  </si>
  <si>
    <t>SELL</t>
  </si>
  <si>
    <t>CholaFin</t>
  </si>
  <si>
    <t>JioFin</t>
  </si>
  <si>
    <t>_</t>
  </si>
  <si>
    <t>Time</t>
  </si>
  <si>
    <t>Totol Profit</t>
  </si>
  <si>
    <t>Overall Gain</t>
  </si>
  <si>
    <t>Chola</t>
  </si>
  <si>
    <t>Jio</t>
  </si>
  <si>
    <t>Invested Amount(2 Week)</t>
  </si>
  <si>
    <t>Received Amount</t>
  </si>
  <si>
    <t>Expected Amount</t>
  </si>
  <si>
    <t>Gain</t>
  </si>
  <si>
    <t>Loss</t>
  </si>
  <si>
    <t>Avg Gain</t>
  </si>
  <si>
    <t>Avg Loss</t>
  </si>
  <si>
    <t>Expected Gain</t>
  </si>
  <si>
    <t>Expected Loss</t>
  </si>
  <si>
    <t xml:space="preserve">Bajaj </t>
  </si>
  <si>
    <t xml:space="preserve">Expected </t>
  </si>
  <si>
    <t xml:space="preserve">Actual </t>
  </si>
  <si>
    <t>verall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</si>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</sst>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4" fontId="0" fillId="33" borderId="10" xfId="0" applyNumberFormat="1" applyFill="1" applyBorder="1" applyAlignment="1">
      <alignment horizontal="center" vertical="center"/>
    </xf>
    <xf numFmtId="4" fontId="0" fillId="35" borderId="10" xfId="0" applyNumberForma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15" fontId="16" fillId="36" borderId="10" xfId="0" applyNumberFormat="1" applyFont="1" applyFill="1" applyBorder="1" applyAlignment="1">
      <alignment horizontal="center" vertical="center"/>
    </xf>
    <xf numFmtId="0" fontId="16" fillId="36" borderId="0" xfId="0" applyFont="1" applyFill="1"/>
    <xf numFmtId="4" fontId="16" fillId="33" borderId="10" xfId="0" applyNumberFormat="1" applyFont="1" applyFill="1" applyBorder="1" applyAlignment="1">
      <alignment horizontal="center" vertical="center"/>
    </xf>
    <xf numFmtId="0" fontId="16" fillId="33" borderId="0" xfId="0" applyFont="1" applyFill="1"/>
    <xf numFmtId="0" fontId="16" fillId="34" borderId="0" xfId="0" applyFont="1" applyFill="1"/>
    <xf numFmtId="4" fontId="16" fillId="35" borderId="10" xfId="0" applyNumberFormat="1" applyFont="1" applyFill="1" applyBorder="1" applyAlignment="1">
      <alignment horizontal="center" vertical="center"/>
    </xf>
    <xf numFmtId="0" fontId="16" fillId="35" borderId="0" xfId="0" applyFont="1" applyFill="1"/>
    <xf numFmtId="0" fontId="19" fillId="0" borderId="10" xfId="0" applyFont="1" applyBorder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/>
    </xf>
    <xf numFmtId="0" fontId="16" fillId="37" borderId="0" xfId="0" applyFont="1" applyFill="1"/>
    <xf numFmtId="0" fontId="18" fillId="37" borderId="10" xfId="0" applyFont="1" applyFill="1" applyBorder="1" applyAlignment="1">
      <alignment horizontal="left" vertical="center"/>
    </xf>
    <xf numFmtId="16" fontId="19" fillId="38" borderId="10" xfId="0" applyNumberFormat="1" applyFont="1" applyFill="1" applyBorder="1" applyAlignment="1">
      <alignment horizontal="left" vertical="center"/>
    </xf>
    <xf numFmtId="0" fontId="0" fillId="0" borderId="10" xfId="0" applyBorder="1"/>
    <xf numFmtId="20" fontId="19" fillId="38" borderId="10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3" fontId="0" fillId="34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39" borderId="10" xfId="0" applyFill="1" applyBorder="1"/>
    <xf numFmtId="1" fontId="0" fillId="0" borderId="10" xfId="0" applyNumberFormat="1" applyBorder="1"/>
    <xf numFmtId="2" fontId="0" fillId="0" borderId="10" xfId="42" applyNumberFormat="1" applyFont="1" applyBorder="1"/>
    <xf numFmtId="2" fontId="0" fillId="0" borderId="10" xfId="0" applyNumberFormat="1" applyBorder="1"/>
    <xf numFmtId="0" fontId="0" fillId="4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5DE4-2BCC-40F6-B72E-C8D04B0B4F76}">
  <dimension ref="A1:Y251"/>
  <sheetViews>
    <sheetView tabSelected="1" topLeftCell="A222" zoomScale="55" zoomScaleNormal="55" workbookViewId="0">
      <selection activeCell="G25" sqref="G25"/>
    </sheetView>
  </sheetViews>
  <sheetFormatPr defaultRowHeight="14.5" x14ac:dyDescent="0.35"/>
  <cols>
    <col min="1" max="1" width="18.54296875" style="14" customWidth="1"/>
    <col min="2" max="2" width="16.1796875" style="16" customWidth="1"/>
    <col min="3" max="3" width="15.453125" style="17" customWidth="1"/>
    <col min="4" max="4" width="12.6328125" style="19" customWidth="1"/>
    <col min="5" max="5" width="11.54296875" style="1" customWidth="1"/>
    <col min="6" max="6" width="13.08984375" style="1" customWidth="1"/>
    <col min="7" max="7" width="12.90625" style="1" customWidth="1"/>
    <col min="8" max="11" width="8.7265625" style="1"/>
    <col min="12" max="12" width="13.7265625" style="2" customWidth="1"/>
    <col min="13" max="13" width="12.54296875" style="2" customWidth="1"/>
    <col min="14" max="14" width="12.7265625" style="2" customWidth="1"/>
    <col min="15" max="18" width="8.7265625" style="2"/>
    <col min="19" max="19" width="11.90625" style="3" customWidth="1"/>
    <col min="20" max="20" width="13.81640625" style="3" customWidth="1"/>
    <col min="21" max="21" width="14.81640625" style="3" customWidth="1"/>
    <col min="22" max="22" width="11.81640625" style="3" customWidth="1"/>
    <col min="23" max="23" width="8.7265625" style="3"/>
    <col min="24" max="25" width="11.81640625" style="3" customWidth="1"/>
  </cols>
  <sheetData>
    <row r="1" spans="1:25" x14ac:dyDescent="0.35">
      <c r="A1" s="9" t="s">
        <v>0</v>
      </c>
      <c r="B1" s="10" t="s">
        <v>1</v>
      </c>
      <c r="C1" s="11" t="s">
        <v>7</v>
      </c>
      <c r="D1" s="12" t="s">
        <v>8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41</v>
      </c>
      <c r="K1" s="10" t="s">
        <v>42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6</v>
      </c>
      <c r="Q1" s="11" t="s">
        <v>41</v>
      </c>
      <c r="R1" s="11" t="s">
        <v>42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6</v>
      </c>
      <c r="X1" s="12" t="s">
        <v>41</v>
      </c>
      <c r="Y1" s="12" t="s">
        <v>42</v>
      </c>
    </row>
    <row r="2" spans="1:25" x14ac:dyDescent="0.35">
      <c r="A2" s="13">
        <v>45953</v>
      </c>
      <c r="B2" s="15">
        <v>2176</v>
      </c>
      <c r="C2" s="11">
        <v>308.89999999999998</v>
      </c>
      <c r="D2" s="18">
        <v>1683</v>
      </c>
      <c r="E2" s="4"/>
      <c r="F2" s="4"/>
      <c r="G2" s="4"/>
      <c r="H2" s="4"/>
      <c r="I2" s="7"/>
      <c r="J2" s="4"/>
      <c r="K2" s="4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</row>
    <row r="3" spans="1:25" x14ac:dyDescent="0.35">
      <c r="A3" s="13">
        <v>45951</v>
      </c>
      <c r="B3" s="15">
        <v>2165</v>
      </c>
      <c r="C3" s="11">
        <v>311.2</v>
      </c>
      <c r="D3" s="18">
        <v>1672</v>
      </c>
      <c r="E3" s="4"/>
      <c r="F3" s="4"/>
      <c r="G3" s="4"/>
      <c r="H3" s="4"/>
      <c r="I3" s="7">
        <f>B3-B2</f>
        <v>-11</v>
      </c>
      <c r="J3" s="4" t="str">
        <f t="shared" ref="J3:J66" si="0">IF(I3&gt;0,I3," ")</f>
        <v xml:space="preserve"> </v>
      </c>
      <c r="K3" s="4">
        <f t="shared" ref="K3:K66" si="1">IF(I3&lt;0,I3," ")</f>
        <v>-11</v>
      </c>
      <c r="L3" s="5"/>
      <c r="M3" s="5"/>
      <c r="N3" s="5"/>
      <c r="O3" s="5"/>
      <c r="P3" s="5">
        <f>C3-C2</f>
        <v>2.3000000000000114</v>
      </c>
      <c r="Q3" s="5">
        <f>IF(P3&gt;0, P3," ")</f>
        <v>2.3000000000000114</v>
      </c>
      <c r="R3" s="5" t="str">
        <f>IF(P3&lt;0,P3," ")</f>
        <v xml:space="preserve"> </v>
      </c>
      <c r="S3" s="6"/>
      <c r="T3" s="6"/>
      <c r="U3" s="6"/>
      <c r="V3" s="6"/>
      <c r="W3" s="8">
        <f>D3-D2</f>
        <v>-11</v>
      </c>
      <c r="X3" s="6" t="str">
        <f t="shared" ref="X3:X66" si="2">IF(W3&gt;0,W3," ")</f>
        <v xml:space="preserve"> </v>
      </c>
      <c r="Y3" s="6">
        <f t="shared" ref="Y3:Y66" si="3">IF(W3&lt;0,W3," ")</f>
        <v>-11</v>
      </c>
    </row>
    <row r="4" spans="1:25" x14ac:dyDescent="0.35">
      <c r="A4" s="13">
        <v>45950</v>
      </c>
      <c r="B4" s="15">
        <v>2141.8000000000002</v>
      </c>
      <c r="C4" s="11">
        <v>311</v>
      </c>
      <c r="D4" s="18">
        <v>1675</v>
      </c>
      <c r="E4" s="4"/>
      <c r="F4" s="4"/>
      <c r="G4" s="4"/>
      <c r="H4" s="4"/>
      <c r="I4" s="7">
        <f t="shared" ref="I4:I67" si="4">B4-B3</f>
        <v>-23.199999999999818</v>
      </c>
      <c r="J4" s="4" t="str">
        <f t="shared" si="0"/>
        <v xml:space="preserve"> </v>
      </c>
      <c r="K4" s="4">
        <f t="shared" si="1"/>
        <v>-23.199999999999818</v>
      </c>
      <c r="L4" s="5"/>
      <c r="M4" s="5"/>
      <c r="N4" s="5"/>
      <c r="O4" s="5"/>
      <c r="P4" s="5">
        <f t="shared" ref="P4:P67" si="5">C4-C3</f>
        <v>-0.19999999999998863</v>
      </c>
      <c r="Q4" s="5" t="str">
        <f t="shared" ref="Q4:Q67" si="6">IF(P4&gt;0, P4," ")</f>
        <v xml:space="preserve"> </v>
      </c>
      <c r="R4" s="5">
        <f t="shared" ref="R4:R67" si="7">IF(P4&lt;0,P4," ")</f>
        <v>-0.19999999999998863</v>
      </c>
      <c r="S4" s="6"/>
      <c r="T4" s="6"/>
      <c r="U4" s="6"/>
      <c r="V4" s="6"/>
      <c r="W4" s="8">
        <f t="shared" ref="W4:W67" si="8">D4-D3</f>
        <v>3</v>
      </c>
      <c r="X4" s="6">
        <f t="shared" si="2"/>
        <v>3</v>
      </c>
      <c r="Y4" s="6" t="str">
        <f t="shared" si="3"/>
        <v xml:space="preserve"> </v>
      </c>
    </row>
    <row r="5" spans="1:25" x14ac:dyDescent="0.35">
      <c r="A5" s="13">
        <v>45947</v>
      </c>
      <c r="B5" s="15">
        <v>2081.1</v>
      </c>
      <c r="C5" s="11">
        <v>309.3</v>
      </c>
      <c r="D5" s="18">
        <v>1655</v>
      </c>
      <c r="E5" s="4"/>
      <c r="F5" s="4"/>
      <c r="G5" s="4"/>
      <c r="H5" s="4"/>
      <c r="I5" s="7">
        <f t="shared" si="4"/>
        <v>-60.700000000000273</v>
      </c>
      <c r="J5" s="4" t="str">
        <f t="shared" si="0"/>
        <v xml:space="preserve"> </v>
      </c>
      <c r="K5" s="4">
        <f t="shared" si="1"/>
        <v>-60.700000000000273</v>
      </c>
      <c r="L5" s="5"/>
      <c r="M5" s="5"/>
      <c r="N5" s="5"/>
      <c r="O5" s="5"/>
      <c r="P5" s="5">
        <f t="shared" si="5"/>
        <v>-1.6999999999999886</v>
      </c>
      <c r="Q5" s="5" t="str">
        <f t="shared" si="6"/>
        <v xml:space="preserve"> </v>
      </c>
      <c r="R5" s="5">
        <f t="shared" si="7"/>
        <v>-1.6999999999999886</v>
      </c>
      <c r="S5" s="6"/>
      <c r="T5" s="6"/>
      <c r="U5" s="6"/>
      <c r="V5" s="6"/>
      <c r="W5" s="8">
        <f t="shared" si="8"/>
        <v>-20</v>
      </c>
      <c r="X5" s="6" t="str">
        <f t="shared" si="2"/>
        <v xml:space="preserve"> </v>
      </c>
      <c r="Y5" s="6">
        <f t="shared" si="3"/>
        <v>-20</v>
      </c>
    </row>
    <row r="6" spans="1:25" x14ac:dyDescent="0.35">
      <c r="A6" s="13">
        <v>45946</v>
      </c>
      <c r="B6" s="15">
        <v>2087.9</v>
      </c>
      <c r="C6" s="11">
        <v>312.10000000000002</v>
      </c>
      <c r="D6" s="18">
        <v>1664.7</v>
      </c>
      <c r="E6" s="7">
        <f>AVERAGE(B2:B6)</f>
        <v>2130.3599999999997</v>
      </c>
      <c r="F6" s="4"/>
      <c r="G6" s="4"/>
      <c r="H6" s="4"/>
      <c r="I6" s="7">
        <f t="shared" si="4"/>
        <v>6.8000000000001819</v>
      </c>
      <c r="J6" s="4">
        <f t="shared" si="0"/>
        <v>6.8000000000001819</v>
      </c>
      <c r="K6" s="4" t="str">
        <f t="shared" si="1"/>
        <v xml:space="preserve"> </v>
      </c>
      <c r="L6" s="5">
        <f>AVERAGE(C2:C6)</f>
        <v>310.5</v>
      </c>
      <c r="M6" s="5"/>
      <c r="N6" s="5"/>
      <c r="O6" s="5"/>
      <c r="P6" s="5">
        <f t="shared" si="5"/>
        <v>2.8000000000000114</v>
      </c>
      <c r="Q6" s="5">
        <f t="shared" si="6"/>
        <v>2.8000000000000114</v>
      </c>
      <c r="R6" s="5" t="str">
        <f t="shared" si="7"/>
        <v xml:space="preserve"> </v>
      </c>
      <c r="S6" s="8">
        <f>AVERAGE(D2:D6)</f>
        <v>1669.94</v>
      </c>
      <c r="T6" s="6"/>
      <c r="U6" s="6"/>
      <c r="V6" s="6"/>
      <c r="W6" s="8">
        <f t="shared" si="8"/>
        <v>9.7000000000000455</v>
      </c>
      <c r="X6" s="6">
        <f t="shared" si="2"/>
        <v>9.7000000000000455</v>
      </c>
      <c r="Y6" s="6" t="str">
        <f t="shared" si="3"/>
        <v xml:space="preserve"> </v>
      </c>
    </row>
    <row r="7" spans="1:25" x14ac:dyDescent="0.35">
      <c r="A7" s="13">
        <v>45945</v>
      </c>
      <c r="B7" s="15">
        <v>2082.9</v>
      </c>
      <c r="C7" s="11">
        <v>312.8</v>
      </c>
      <c r="D7" s="18">
        <v>1705</v>
      </c>
      <c r="E7" s="7">
        <f t="shared" ref="E7:E70" si="9">AVERAGE(B3:B7)</f>
        <v>2111.7399999999998</v>
      </c>
      <c r="F7" s="4"/>
      <c r="G7" s="4"/>
      <c r="H7" s="4"/>
      <c r="I7" s="7">
        <f t="shared" si="4"/>
        <v>-5</v>
      </c>
      <c r="J7" s="4" t="str">
        <f t="shared" si="0"/>
        <v xml:space="preserve"> </v>
      </c>
      <c r="K7" s="4">
        <f t="shared" si="1"/>
        <v>-5</v>
      </c>
      <c r="L7" s="5">
        <f t="shared" ref="L7:L70" si="10">AVERAGE(C3:C7)</f>
        <v>311.27999999999997</v>
      </c>
      <c r="M7" s="5"/>
      <c r="N7" s="5"/>
      <c r="O7" s="5"/>
      <c r="P7" s="5">
        <f t="shared" si="5"/>
        <v>0.69999999999998863</v>
      </c>
      <c r="Q7" s="5">
        <f t="shared" si="6"/>
        <v>0.69999999999998863</v>
      </c>
      <c r="R7" s="5" t="str">
        <f t="shared" si="7"/>
        <v xml:space="preserve"> </v>
      </c>
      <c r="S7" s="8">
        <f t="shared" ref="S7:S70" si="11">AVERAGE(D3:D7)</f>
        <v>1674.3400000000001</v>
      </c>
      <c r="T7" s="6"/>
      <c r="U7" s="6"/>
      <c r="V7" s="6"/>
      <c r="W7" s="8">
        <f t="shared" si="8"/>
        <v>40.299999999999955</v>
      </c>
      <c r="X7" s="6">
        <f t="shared" si="2"/>
        <v>40.299999999999955</v>
      </c>
      <c r="Y7" s="6" t="str">
        <f t="shared" si="3"/>
        <v xml:space="preserve"> </v>
      </c>
    </row>
    <row r="8" spans="1:25" x14ac:dyDescent="0.35">
      <c r="A8" s="13">
        <v>45944</v>
      </c>
      <c r="B8" s="15">
        <v>2019.9</v>
      </c>
      <c r="C8" s="11">
        <v>305.5</v>
      </c>
      <c r="D8" s="18">
        <v>1650.1</v>
      </c>
      <c r="E8" s="7">
        <f t="shared" si="9"/>
        <v>2082.7199999999998</v>
      </c>
      <c r="F8" s="4"/>
      <c r="G8" s="4"/>
      <c r="H8" s="4"/>
      <c r="I8" s="7">
        <f t="shared" si="4"/>
        <v>-63</v>
      </c>
      <c r="J8" s="4" t="str">
        <f t="shared" si="0"/>
        <v xml:space="preserve"> </v>
      </c>
      <c r="K8" s="4">
        <f t="shared" si="1"/>
        <v>-63</v>
      </c>
      <c r="L8" s="5">
        <f t="shared" si="10"/>
        <v>310.14</v>
      </c>
      <c r="M8" s="5"/>
      <c r="N8" s="5"/>
      <c r="O8" s="5"/>
      <c r="P8" s="5">
        <f t="shared" si="5"/>
        <v>-7.3000000000000114</v>
      </c>
      <c r="Q8" s="5" t="str">
        <f t="shared" si="6"/>
        <v xml:space="preserve"> </v>
      </c>
      <c r="R8" s="5">
        <f t="shared" si="7"/>
        <v>-7.3000000000000114</v>
      </c>
      <c r="S8" s="8">
        <f t="shared" si="11"/>
        <v>1669.9599999999998</v>
      </c>
      <c r="T8" s="6"/>
      <c r="U8" s="6"/>
      <c r="V8" s="6"/>
      <c r="W8" s="8">
        <f t="shared" si="8"/>
        <v>-54.900000000000091</v>
      </c>
      <c r="X8" s="6" t="str">
        <f t="shared" si="2"/>
        <v xml:space="preserve"> </v>
      </c>
      <c r="Y8" s="6">
        <f t="shared" si="3"/>
        <v>-54.900000000000091</v>
      </c>
    </row>
    <row r="9" spans="1:25" x14ac:dyDescent="0.35">
      <c r="A9" s="13">
        <v>45943</v>
      </c>
      <c r="B9" s="15">
        <v>2023.9</v>
      </c>
      <c r="C9" s="11">
        <v>308.64999999999998</v>
      </c>
      <c r="D9" s="18">
        <v>1643.7</v>
      </c>
      <c r="E9" s="7">
        <f t="shared" si="9"/>
        <v>2059.14</v>
      </c>
      <c r="F9" s="4"/>
      <c r="G9" s="4"/>
      <c r="H9" s="4"/>
      <c r="I9" s="7">
        <f t="shared" si="4"/>
        <v>4</v>
      </c>
      <c r="J9" s="4">
        <f t="shared" si="0"/>
        <v>4</v>
      </c>
      <c r="K9" s="4" t="str">
        <f t="shared" si="1"/>
        <v xml:space="preserve"> </v>
      </c>
      <c r="L9" s="5">
        <f t="shared" si="10"/>
        <v>309.66999999999996</v>
      </c>
      <c r="M9" s="5"/>
      <c r="N9" s="5"/>
      <c r="O9" s="5"/>
      <c r="P9" s="5">
        <f t="shared" si="5"/>
        <v>3.1499999999999773</v>
      </c>
      <c r="Q9" s="5">
        <f t="shared" si="6"/>
        <v>3.1499999999999773</v>
      </c>
      <c r="R9" s="5" t="str">
        <f t="shared" si="7"/>
        <v xml:space="preserve"> </v>
      </c>
      <c r="S9" s="8">
        <f t="shared" si="11"/>
        <v>1663.7</v>
      </c>
      <c r="T9" s="6"/>
      <c r="U9" s="6"/>
      <c r="V9" s="6"/>
      <c r="W9" s="8">
        <f t="shared" si="8"/>
        <v>-6.3999999999998636</v>
      </c>
      <c r="X9" s="6" t="str">
        <f t="shared" si="2"/>
        <v xml:space="preserve"> </v>
      </c>
      <c r="Y9" s="6">
        <f t="shared" si="3"/>
        <v>-6.3999999999998636</v>
      </c>
    </row>
    <row r="10" spans="1:25" x14ac:dyDescent="0.35">
      <c r="A10" s="13">
        <v>45940</v>
      </c>
      <c r="B10" s="15">
        <v>2008.5</v>
      </c>
      <c r="C10" s="11">
        <v>308.2</v>
      </c>
      <c r="D10" s="18">
        <v>1615.6</v>
      </c>
      <c r="E10" s="7">
        <f t="shared" si="9"/>
        <v>2044.6200000000001</v>
      </c>
      <c r="F10" s="4"/>
      <c r="G10" s="4"/>
      <c r="H10" s="4"/>
      <c r="I10" s="7">
        <f t="shared" si="4"/>
        <v>-15.400000000000091</v>
      </c>
      <c r="J10" s="4" t="str">
        <f t="shared" si="0"/>
        <v xml:space="preserve"> </v>
      </c>
      <c r="K10" s="4">
        <f t="shared" si="1"/>
        <v>-15.400000000000091</v>
      </c>
      <c r="L10" s="5">
        <f t="shared" si="10"/>
        <v>309.45000000000005</v>
      </c>
      <c r="M10" s="5"/>
      <c r="N10" s="5"/>
      <c r="O10" s="5"/>
      <c r="P10" s="5">
        <f t="shared" si="5"/>
        <v>-0.44999999999998863</v>
      </c>
      <c r="Q10" s="5" t="str">
        <f t="shared" si="6"/>
        <v xml:space="preserve"> </v>
      </c>
      <c r="R10" s="5">
        <f t="shared" si="7"/>
        <v>-0.44999999999998863</v>
      </c>
      <c r="S10" s="8">
        <f t="shared" si="11"/>
        <v>1655.8199999999997</v>
      </c>
      <c r="T10" s="6"/>
      <c r="U10" s="6"/>
      <c r="V10" s="6"/>
      <c r="W10" s="8">
        <f t="shared" si="8"/>
        <v>-28.100000000000136</v>
      </c>
      <c r="X10" s="6" t="str">
        <f t="shared" si="2"/>
        <v xml:space="preserve"> </v>
      </c>
      <c r="Y10" s="6">
        <f t="shared" si="3"/>
        <v>-28.100000000000136</v>
      </c>
    </row>
    <row r="11" spans="1:25" x14ac:dyDescent="0.35">
      <c r="A11" s="13">
        <v>45939</v>
      </c>
      <c r="B11" s="15">
        <v>2012</v>
      </c>
      <c r="C11" s="11">
        <v>307.14999999999998</v>
      </c>
      <c r="D11" s="18">
        <v>1620.2</v>
      </c>
      <c r="E11" s="7">
        <f t="shared" si="9"/>
        <v>2029.44</v>
      </c>
      <c r="F11" s="4"/>
      <c r="G11" s="4"/>
      <c r="H11" s="4"/>
      <c r="I11" s="7">
        <f t="shared" si="4"/>
        <v>3.5</v>
      </c>
      <c r="J11" s="4">
        <f t="shared" si="0"/>
        <v>3.5</v>
      </c>
      <c r="K11" s="4" t="str">
        <f t="shared" si="1"/>
        <v xml:space="preserve"> </v>
      </c>
      <c r="L11" s="5">
        <f t="shared" si="10"/>
        <v>308.45999999999992</v>
      </c>
      <c r="M11" s="5"/>
      <c r="N11" s="5"/>
      <c r="O11" s="5"/>
      <c r="P11" s="5">
        <f t="shared" si="5"/>
        <v>-1.0500000000000114</v>
      </c>
      <c r="Q11" s="5" t="str">
        <f t="shared" si="6"/>
        <v xml:space="preserve"> </v>
      </c>
      <c r="R11" s="5">
        <f t="shared" si="7"/>
        <v>-1.0500000000000114</v>
      </c>
      <c r="S11" s="8">
        <f t="shared" si="11"/>
        <v>1646.92</v>
      </c>
      <c r="T11" s="6"/>
      <c r="U11" s="6"/>
      <c r="V11" s="6"/>
      <c r="W11" s="8">
        <f t="shared" si="8"/>
        <v>4.6000000000001364</v>
      </c>
      <c r="X11" s="6">
        <f t="shared" si="2"/>
        <v>4.6000000000001364</v>
      </c>
      <c r="Y11" s="6" t="str">
        <f t="shared" si="3"/>
        <v xml:space="preserve"> </v>
      </c>
    </row>
    <row r="12" spans="1:25" x14ac:dyDescent="0.35">
      <c r="A12" s="13">
        <v>45938</v>
      </c>
      <c r="B12" s="15">
        <v>2010.2</v>
      </c>
      <c r="C12" s="11">
        <v>304.7</v>
      </c>
      <c r="D12" s="18">
        <v>1610.3</v>
      </c>
      <c r="E12" s="7">
        <f t="shared" si="9"/>
        <v>2014.9</v>
      </c>
      <c r="F12" s="4"/>
      <c r="G12" s="4"/>
      <c r="H12" s="4"/>
      <c r="I12" s="7">
        <f t="shared" si="4"/>
        <v>-1.7999999999999545</v>
      </c>
      <c r="J12" s="4" t="str">
        <f t="shared" si="0"/>
        <v xml:space="preserve"> </v>
      </c>
      <c r="K12" s="4">
        <f t="shared" si="1"/>
        <v>-1.7999999999999545</v>
      </c>
      <c r="L12" s="5">
        <f t="shared" si="10"/>
        <v>306.84000000000003</v>
      </c>
      <c r="M12" s="5"/>
      <c r="N12" s="5"/>
      <c r="O12" s="5"/>
      <c r="P12" s="5">
        <f t="shared" si="5"/>
        <v>-2.4499999999999886</v>
      </c>
      <c r="Q12" s="5" t="str">
        <f t="shared" si="6"/>
        <v xml:space="preserve"> </v>
      </c>
      <c r="R12" s="5">
        <f t="shared" si="7"/>
        <v>-2.4499999999999886</v>
      </c>
      <c r="S12" s="8">
        <f t="shared" si="11"/>
        <v>1627.98</v>
      </c>
      <c r="T12" s="6"/>
      <c r="U12" s="6"/>
      <c r="V12" s="6"/>
      <c r="W12" s="8">
        <f t="shared" si="8"/>
        <v>-9.9000000000000909</v>
      </c>
      <c r="X12" s="6" t="str">
        <f t="shared" si="2"/>
        <v xml:space="preserve"> </v>
      </c>
      <c r="Y12" s="6">
        <f t="shared" si="3"/>
        <v>-9.9000000000000909</v>
      </c>
    </row>
    <row r="13" spans="1:25" x14ac:dyDescent="0.35">
      <c r="A13" s="13">
        <v>45937</v>
      </c>
      <c r="B13" s="15">
        <v>2030</v>
      </c>
      <c r="C13" s="11">
        <v>310.60000000000002</v>
      </c>
      <c r="D13" s="18">
        <v>1626.7</v>
      </c>
      <c r="E13" s="7">
        <f t="shared" si="9"/>
        <v>2016.9199999999996</v>
      </c>
      <c r="F13" s="4"/>
      <c r="G13" s="4"/>
      <c r="H13" s="4"/>
      <c r="I13" s="7">
        <f t="shared" si="4"/>
        <v>19.799999999999955</v>
      </c>
      <c r="J13" s="4">
        <f t="shared" si="0"/>
        <v>19.799999999999955</v>
      </c>
      <c r="K13" s="4" t="str">
        <f t="shared" si="1"/>
        <v xml:space="preserve"> </v>
      </c>
      <c r="L13" s="5">
        <f t="shared" si="10"/>
        <v>307.85999999999996</v>
      </c>
      <c r="M13" s="5"/>
      <c r="N13" s="5"/>
      <c r="O13" s="5"/>
      <c r="P13" s="5">
        <f t="shared" si="5"/>
        <v>5.9000000000000341</v>
      </c>
      <c r="Q13" s="5">
        <f t="shared" si="6"/>
        <v>5.9000000000000341</v>
      </c>
      <c r="R13" s="5" t="str">
        <f t="shared" si="7"/>
        <v xml:space="preserve"> </v>
      </c>
      <c r="S13" s="8">
        <f t="shared" si="11"/>
        <v>1623.3</v>
      </c>
      <c r="T13" s="6"/>
      <c r="U13" s="6"/>
      <c r="V13" s="6"/>
      <c r="W13" s="8">
        <f t="shared" si="8"/>
        <v>16.400000000000091</v>
      </c>
      <c r="X13" s="6">
        <f t="shared" si="2"/>
        <v>16.400000000000091</v>
      </c>
      <c r="Y13" s="6" t="str">
        <f t="shared" si="3"/>
        <v xml:space="preserve"> </v>
      </c>
    </row>
    <row r="14" spans="1:25" x14ac:dyDescent="0.35">
      <c r="A14" s="13">
        <v>45936</v>
      </c>
      <c r="B14" s="15">
        <v>2031.1</v>
      </c>
      <c r="C14" s="11">
        <v>306.10000000000002</v>
      </c>
      <c r="D14" s="18">
        <v>1646.8</v>
      </c>
      <c r="E14" s="7">
        <f t="shared" si="9"/>
        <v>2018.36</v>
      </c>
      <c r="F14" s="4"/>
      <c r="G14" s="4"/>
      <c r="H14" s="4"/>
      <c r="I14" s="7">
        <f t="shared" si="4"/>
        <v>1.0999999999999091</v>
      </c>
      <c r="J14" s="4">
        <f t="shared" si="0"/>
        <v>1.0999999999999091</v>
      </c>
      <c r="K14" s="4" t="str">
        <f t="shared" si="1"/>
        <v xml:space="preserve"> </v>
      </c>
      <c r="L14" s="5">
        <f t="shared" si="10"/>
        <v>307.35000000000002</v>
      </c>
      <c r="M14" s="5"/>
      <c r="N14" s="5"/>
      <c r="O14" s="5"/>
      <c r="P14" s="5">
        <f t="shared" si="5"/>
        <v>-4.5</v>
      </c>
      <c r="Q14" s="5" t="str">
        <f t="shared" si="6"/>
        <v xml:space="preserve"> </v>
      </c>
      <c r="R14" s="5">
        <f t="shared" si="7"/>
        <v>-4.5</v>
      </c>
      <c r="S14" s="8">
        <f t="shared" si="11"/>
        <v>1623.92</v>
      </c>
      <c r="T14" s="6"/>
      <c r="U14" s="6"/>
      <c r="V14" s="6"/>
      <c r="W14" s="8">
        <f t="shared" si="8"/>
        <v>20.099999999999909</v>
      </c>
      <c r="X14" s="6">
        <f t="shared" si="2"/>
        <v>20.099999999999909</v>
      </c>
      <c r="Y14" s="6" t="str">
        <f t="shared" si="3"/>
        <v xml:space="preserve"> </v>
      </c>
    </row>
    <row r="15" spans="1:25" x14ac:dyDescent="0.35">
      <c r="A15" s="13">
        <v>45933</v>
      </c>
      <c r="B15" s="15">
        <v>1994.2</v>
      </c>
      <c r="C15" s="11">
        <v>302.60000000000002</v>
      </c>
      <c r="D15" s="18">
        <v>1572</v>
      </c>
      <c r="E15" s="7">
        <f t="shared" si="9"/>
        <v>2015.5</v>
      </c>
      <c r="F15" s="4"/>
      <c r="G15" s="4"/>
      <c r="H15" s="4"/>
      <c r="I15" s="7">
        <f t="shared" si="4"/>
        <v>-36.899999999999864</v>
      </c>
      <c r="J15" s="4" t="str">
        <f t="shared" si="0"/>
        <v xml:space="preserve"> </v>
      </c>
      <c r="K15" s="4">
        <f t="shared" si="1"/>
        <v>-36.899999999999864</v>
      </c>
      <c r="L15" s="5">
        <f t="shared" si="10"/>
        <v>306.23</v>
      </c>
      <c r="M15" s="5"/>
      <c r="N15" s="5"/>
      <c r="O15" s="5"/>
      <c r="P15" s="5">
        <f t="shared" si="5"/>
        <v>-3.5</v>
      </c>
      <c r="Q15" s="5" t="str">
        <f t="shared" si="6"/>
        <v xml:space="preserve"> </v>
      </c>
      <c r="R15" s="5">
        <f t="shared" si="7"/>
        <v>-3.5</v>
      </c>
      <c r="S15" s="8">
        <f t="shared" si="11"/>
        <v>1615.2</v>
      </c>
      <c r="T15" s="6"/>
      <c r="U15" s="6"/>
      <c r="V15" s="6"/>
      <c r="W15" s="8">
        <f t="shared" si="8"/>
        <v>-74.799999999999955</v>
      </c>
      <c r="X15" s="6" t="str">
        <f t="shared" si="2"/>
        <v xml:space="preserve"> </v>
      </c>
      <c r="Y15" s="6">
        <f t="shared" si="3"/>
        <v>-74.799999999999955</v>
      </c>
    </row>
    <row r="16" spans="1:25" x14ac:dyDescent="0.35">
      <c r="A16" s="13">
        <v>45931</v>
      </c>
      <c r="B16" s="15">
        <v>2010</v>
      </c>
      <c r="C16" s="11">
        <v>300.8</v>
      </c>
      <c r="D16" s="18">
        <v>1603</v>
      </c>
      <c r="E16" s="7">
        <f t="shared" si="9"/>
        <v>2015.1</v>
      </c>
      <c r="F16" s="4"/>
      <c r="G16" s="4"/>
      <c r="H16" s="4"/>
      <c r="I16" s="7">
        <f t="shared" si="4"/>
        <v>15.799999999999955</v>
      </c>
      <c r="J16" s="4">
        <f t="shared" si="0"/>
        <v>15.799999999999955</v>
      </c>
      <c r="K16" s="4" t="str">
        <f t="shared" si="1"/>
        <v xml:space="preserve"> </v>
      </c>
      <c r="L16" s="5">
        <f t="shared" si="10"/>
        <v>304.95999999999998</v>
      </c>
      <c r="M16" s="5"/>
      <c r="N16" s="5"/>
      <c r="O16" s="5"/>
      <c r="P16" s="5">
        <f t="shared" si="5"/>
        <v>-1.8000000000000114</v>
      </c>
      <c r="Q16" s="5" t="str">
        <f t="shared" si="6"/>
        <v xml:space="preserve"> </v>
      </c>
      <c r="R16" s="5">
        <f t="shared" si="7"/>
        <v>-1.8000000000000114</v>
      </c>
      <c r="S16" s="8">
        <f t="shared" si="11"/>
        <v>1611.76</v>
      </c>
      <c r="T16" s="6"/>
      <c r="U16" s="6"/>
      <c r="V16" s="6"/>
      <c r="W16" s="8">
        <f t="shared" si="8"/>
        <v>31</v>
      </c>
      <c r="X16" s="6">
        <f t="shared" si="2"/>
        <v>31</v>
      </c>
      <c r="Y16" s="6" t="str">
        <f t="shared" si="3"/>
        <v xml:space="preserve"> </v>
      </c>
    </row>
    <row r="17" spans="1:25" x14ac:dyDescent="0.35">
      <c r="A17" s="13">
        <v>45930</v>
      </c>
      <c r="B17" s="15">
        <v>2001</v>
      </c>
      <c r="C17" s="11">
        <v>294</v>
      </c>
      <c r="D17" s="18">
        <v>1610.8</v>
      </c>
      <c r="E17" s="7">
        <f t="shared" si="9"/>
        <v>2013.2599999999998</v>
      </c>
      <c r="F17" s="4"/>
      <c r="G17" s="4"/>
      <c r="H17" s="4"/>
      <c r="I17" s="7">
        <f t="shared" si="4"/>
        <v>-9</v>
      </c>
      <c r="J17" s="4" t="str">
        <f t="shared" si="0"/>
        <v xml:space="preserve"> </v>
      </c>
      <c r="K17" s="4">
        <f t="shared" si="1"/>
        <v>-9</v>
      </c>
      <c r="L17" s="5">
        <f t="shared" si="10"/>
        <v>302.82000000000005</v>
      </c>
      <c r="M17" s="5"/>
      <c r="N17" s="5"/>
      <c r="O17" s="5"/>
      <c r="P17" s="5">
        <f t="shared" si="5"/>
        <v>-6.8000000000000114</v>
      </c>
      <c r="Q17" s="5" t="str">
        <f t="shared" si="6"/>
        <v xml:space="preserve"> </v>
      </c>
      <c r="R17" s="5">
        <f t="shared" si="7"/>
        <v>-6.8000000000000114</v>
      </c>
      <c r="S17" s="8">
        <f t="shared" si="11"/>
        <v>1611.8600000000001</v>
      </c>
      <c r="T17" s="6"/>
      <c r="U17" s="6"/>
      <c r="V17" s="6"/>
      <c r="W17" s="8">
        <f t="shared" si="8"/>
        <v>7.7999999999999545</v>
      </c>
      <c r="X17" s="6">
        <f t="shared" si="2"/>
        <v>7.7999999999999545</v>
      </c>
      <c r="Y17" s="6" t="str">
        <f t="shared" si="3"/>
        <v xml:space="preserve"> </v>
      </c>
    </row>
    <row r="18" spans="1:25" x14ac:dyDescent="0.35">
      <c r="A18" s="13">
        <v>45929</v>
      </c>
      <c r="B18" s="15">
        <v>2012</v>
      </c>
      <c r="C18" s="11">
        <v>295.2</v>
      </c>
      <c r="D18" s="18">
        <v>1594.7</v>
      </c>
      <c r="E18" s="7">
        <f t="shared" si="9"/>
        <v>2009.6599999999999</v>
      </c>
      <c r="F18" s="4"/>
      <c r="G18" s="4"/>
      <c r="H18" s="4"/>
      <c r="I18" s="7">
        <f t="shared" si="4"/>
        <v>11</v>
      </c>
      <c r="J18" s="4">
        <f t="shared" si="0"/>
        <v>11</v>
      </c>
      <c r="K18" s="4" t="str">
        <f t="shared" si="1"/>
        <v xml:space="preserve"> </v>
      </c>
      <c r="L18" s="5">
        <f t="shared" si="10"/>
        <v>299.74</v>
      </c>
      <c r="M18" s="5"/>
      <c r="N18" s="5"/>
      <c r="O18" s="5"/>
      <c r="P18" s="5">
        <f t="shared" si="5"/>
        <v>1.1999999999999886</v>
      </c>
      <c r="Q18" s="5">
        <f t="shared" si="6"/>
        <v>1.1999999999999886</v>
      </c>
      <c r="R18" s="5" t="str">
        <f t="shared" si="7"/>
        <v xml:space="preserve"> </v>
      </c>
      <c r="S18" s="8">
        <f t="shared" si="11"/>
        <v>1605.46</v>
      </c>
      <c r="T18" s="6"/>
      <c r="U18" s="6"/>
      <c r="V18" s="6"/>
      <c r="W18" s="8">
        <f t="shared" si="8"/>
        <v>-16.099999999999909</v>
      </c>
      <c r="X18" s="6" t="str">
        <f t="shared" si="2"/>
        <v xml:space="preserve"> </v>
      </c>
      <c r="Y18" s="6">
        <f t="shared" si="3"/>
        <v>-16.099999999999909</v>
      </c>
    </row>
    <row r="19" spans="1:25" x14ac:dyDescent="0.35">
      <c r="A19" s="13">
        <v>45926</v>
      </c>
      <c r="B19" s="15">
        <v>2003</v>
      </c>
      <c r="C19" s="11">
        <v>296.35000000000002</v>
      </c>
      <c r="D19" s="18">
        <v>1572.3</v>
      </c>
      <c r="E19" s="7">
        <f t="shared" si="9"/>
        <v>2004.0400000000002</v>
      </c>
      <c r="F19" s="4"/>
      <c r="G19" s="4"/>
      <c r="H19" s="4"/>
      <c r="I19" s="7">
        <f t="shared" si="4"/>
        <v>-9</v>
      </c>
      <c r="J19" s="4" t="str">
        <f t="shared" si="0"/>
        <v xml:space="preserve"> </v>
      </c>
      <c r="K19" s="4">
        <f t="shared" si="1"/>
        <v>-9</v>
      </c>
      <c r="L19" s="5">
        <f t="shared" si="10"/>
        <v>297.79000000000008</v>
      </c>
      <c r="M19" s="5"/>
      <c r="N19" s="5"/>
      <c r="O19" s="5"/>
      <c r="P19" s="5">
        <f t="shared" si="5"/>
        <v>1.1500000000000341</v>
      </c>
      <c r="Q19" s="5">
        <f t="shared" si="6"/>
        <v>1.1500000000000341</v>
      </c>
      <c r="R19" s="5" t="str">
        <f t="shared" si="7"/>
        <v xml:space="preserve"> </v>
      </c>
      <c r="S19" s="8">
        <f t="shared" si="11"/>
        <v>1590.56</v>
      </c>
      <c r="T19" s="6"/>
      <c r="U19" s="6"/>
      <c r="V19" s="6"/>
      <c r="W19" s="8">
        <f t="shared" si="8"/>
        <v>-22.400000000000091</v>
      </c>
      <c r="X19" s="6" t="str">
        <f t="shared" si="2"/>
        <v xml:space="preserve"> </v>
      </c>
      <c r="Y19" s="6">
        <f t="shared" si="3"/>
        <v>-22.400000000000091</v>
      </c>
    </row>
    <row r="20" spans="1:25" x14ac:dyDescent="0.35">
      <c r="A20" s="13">
        <v>45925</v>
      </c>
      <c r="B20" s="15">
        <v>2033</v>
      </c>
      <c r="C20" s="11">
        <v>301.60000000000002</v>
      </c>
      <c r="D20" s="18">
        <v>1591</v>
      </c>
      <c r="E20" s="7">
        <f t="shared" si="9"/>
        <v>2011.8</v>
      </c>
      <c r="F20" s="4"/>
      <c r="G20" s="4"/>
      <c r="H20" s="4"/>
      <c r="I20" s="7">
        <f t="shared" si="4"/>
        <v>30</v>
      </c>
      <c r="J20" s="4">
        <f t="shared" si="0"/>
        <v>30</v>
      </c>
      <c r="K20" s="4" t="str">
        <f t="shared" si="1"/>
        <v xml:space="preserve"> </v>
      </c>
      <c r="L20" s="5">
        <f t="shared" si="10"/>
        <v>297.58999999999997</v>
      </c>
      <c r="M20" s="5"/>
      <c r="N20" s="5"/>
      <c r="O20" s="5"/>
      <c r="P20" s="5">
        <f t="shared" si="5"/>
        <v>5.25</v>
      </c>
      <c r="Q20" s="5">
        <f t="shared" si="6"/>
        <v>5.25</v>
      </c>
      <c r="R20" s="5" t="str">
        <f t="shared" si="7"/>
        <v xml:space="preserve"> </v>
      </c>
      <c r="S20" s="8">
        <f t="shared" si="11"/>
        <v>1594.3600000000001</v>
      </c>
      <c r="T20" s="6"/>
      <c r="U20" s="6"/>
      <c r="V20" s="6"/>
      <c r="W20" s="8">
        <f t="shared" si="8"/>
        <v>18.700000000000045</v>
      </c>
      <c r="X20" s="6">
        <f t="shared" si="2"/>
        <v>18.700000000000045</v>
      </c>
      <c r="Y20" s="6" t="str">
        <f t="shared" si="3"/>
        <v xml:space="preserve"> </v>
      </c>
    </row>
    <row r="21" spans="1:25" x14ac:dyDescent="0.35">
      <c r="A21" s="13">
        <v>45924</v>
      </c>
      <c r="B21" s="15">
        <v>2070.1</v>
      </c>
      <c r="C21" s="11">
        <v>306.25</v>
      </c>
      <c r="D21" s="18">
        <v>1627.5</v>
      </c>
      <c r="E21" s="7">
        <f t="shared" si="9"/>
        <v>2023.8200000000002</v>
      </c>
      <c r="F21" s="7">
        <f>AVERAGE(B2:B21)</f>
        <v>2049.6799999999998</v>
      </c>
      <c r="G21" s="4"/>
      <c r="H21" s="4"/>
      <c r="I21" s="7">
        <f t="shared" si="4"/>
        <v>37.099999999999909</v>
      </c>
      <c r="J21" s="4">
        <f t="shared" si="0"/>
        <v>37.099999999999909</v>
      </c>
      <c r="K21" s="4" t="str">
        <f t="shared" si="1"/>
        <v xml:space="preserve"> </v>
      </c>
      <c r="L21" s="5">
        <f t="shared" si="10"/>
        <v>298.68</v>
      </c>
      <c r="M21" s="5">
        <f>AVERAGE(C2:C21)</f>
        <v>305.65000000000003</v>
      </c>
      <c r="N21" s="5"/>
      <c r="O21" s="5"/>
      <c r="P21" s="5">
        <f t="shared" si="5"/>
        <v>4.6499999999999773</v>
      </c>
      <c r="Q21" s="5">
        <f t="shared" si="6"/>
        <v>4.6499999999999773</v>
      </c>
      <c r="R21" s="5" t="str">
        <f t="shared" si="7"/>
        <v xml:space="preserve"> </v>
      </c>
      <c r="S21" s="8">
        <f t="shared" si="11"/>
        <v>1599.26</v>
      </c>
      <c r="T21" s="8">
        <f>AVERAGE(D2:D21)</f>
        <v>1631.97</v>
      </c>
      <c r="U21" s="6"/>
      <c r="V21" s="6"/>
      <c r="W21" s="8">
        <f t="shared" si="8"/>
        <v>36.5</v>
      </c>
      <c r="X21" s="6">
        <f t="shared" si="2"/>
        <v>36.5</v>
      </c>
      <c r="Y21" s="6" t="str">
        <f t="shared" si="3"/>
        <v xml:space="preserve"> </v>
      </c>
    </row>
    <row r="22" spans="1:25" x14ac:dyDescent="0.35">
      <c r="A22" s="13">
        <v>45923</v>
      </c>
      <c r="B22" s="15">
        <v>2084</v>
      </c>
      <c r="C22" s="11">
        <v>313.05</v>
      </c>
      <c r="D22" s="18">
        <v>1623.7</v>
      </c>
      <c r="E22" s="7">
        <f t="shared" si="9"/>
        <v>2040.42</v>
      </c>
      <c r="F22" s="7">
        <f t="shared" ref="F22:F85" si="12">AVERAGE(B3:B22)</f>
        <v>2045.08</v>
      </c>
      <c r="G22" s="4"/>
      <c r="H22" s="4"/>
      <c r="I22" s="7">
        <f t="shared" si="4"/>
        <v>13.900000000000091</v>
      </c>
      <c r="J22" s="4">
        <f t="shared" si="0"/>
        <v>13.900000000000091</v>
      </c>
      <c r="K22" s="4" t="str">
        <f t="shared" si="1"/>
        <v xml:space="preserve"> </v>
      </c>
      <c r="L22" s="5">
        <f t="shared" si="10"/>
        <v>302.49</v>
      </c>
      <c r="M22" s="5">
        <f t="shared" ref="M22:M85" si="13">AVERAGE(C3:C22)</f>
        <v>305.85749999999996</v>
      </c>
      <c r="N22" s="5"/>
      <c r="O22" s="5"/>
      <c r="P22" s="5">
        <f t="shared" si="5"/>
        <v>6.8000000000000114</v>
      </c>
      <c r="Q22" s="5">
        <f t="shared" si="6"/>
        <v>6.8000000000000114</v>
      </c>
      <c r="R22" s="5" t="str">
        <f t="shared" si="7"/>
        <v xml:space="preserve"> </v>
      </c>
      <c r="S22" s="8">
        <f t="shared" si="11"/>
        <v>1601.84</v>
      </c>
      <c r="T22" s="8">
        <f t="shared" ref="T22:T85" si="14">AVERAGE(D3:D22)</f>
        <v>1629.0050000000001</v>
      </c>
      <c r="U22" s="6"/>
      <c r="V22" s="6"/>
      <c r="W22" s="8">
        <f t="shared" si="8"/>
        <v>-3.7999999999999545</v>
      </c>
      <c r="X22" s="6" t="str">
        <f t="shared" si="2"/>
        <v xml:space="preserve"> </v>
      </c>
      <c r="Y22" s="6">
        <f t="shared" si="3"/>
        <v>-3.7999999999999545</v>
      </c>
    </row>
    <row r="23" spans="1:25" x14ac:dyDescent="0.35">
      <c r="A23" s="13">
        <v>45922</v>
      </c>
      <c r="B23" s="15">
        <v>2068.6</v>
      </c>
      <c r="C23" s="11">
        <v>313.7</v>
      </c>
      <c r="D23" s="18">
        <v>1628</v>
      </c>
      <c r="E23" s="7">
        <f t="shared" si="9"/>
        <v>2051.7400000000002</v>
      </c>
      <c r="F23" s="7">
        <f t="shared" si="12"/>
        <v>2040.2599999999998</v>
      </c>
      <c r="G23" s="4"/>
      <c r="H23" s="4"/>
      <c r="I23" s="7">
        <f t="shared" si="4"/>
        <v>-15.400000000000091</v>
      </c>
      <c r="J23" s="4" t="str">
        <f t="shared" si="0"/>
        <v xml:space="preserve"> </v>
      </c>
      <c r="K23" s="4">
        <f t="shared" si="1"/>
        <v>-15.400000000000091</v>
      </c>
      <c r="L23" s="5">
        <f t="shared" si="10"/>
        <v>306.19</v>
      </c>
      <c r="M23" s="5">
        <f t="shared" si="13"/>
        <v>305.98250000000002</v>
      </c>
      <c r="N23" s="5"/>
      <c r="O23" s="5"/>
      <c r="P23" s="5">
        <f t="shared" si="5"/>
        <v>0.64999999999997726</v>
      </c>
      <c r="Q23" s="5">
        <f t="shared" si="6"/>
        <v>0.64999999999997726</v>
      </c>
      <c r="R23" s="5" t="str">
        <f t="shared" si="7"/>
        <v xml:space="preserve"> </v>
      </c>
      <c r="S23" s="8">
        <f t="shared" si="11"/>
        <v>1608.5</v>
      </c>
      <c r="T23" s="8">
        <f t="shared" si="14"/>
        <v>1626.8049999999998</v>
      </c>
      <c r="U23" s="6"/>
      <c r="V23" s="6"/>
      <c r="W23" s="8">
        <f t="shared" si="8"/>
        <v>4.2999999999999545</v>
      </c>
      <c r="X23" s="6">
        <f t="shared" si="2"/>
        <v>4.2999999999999545</v>
      </c>
      <c r="Y23" s="6" t="str">
        <f t="shared" si="3"/>
        <v xml:space="preserve"> </v>
      </c>
    </row>
    <row r="24" spans="1:25" x14ac:dyDescent="0.35">
      <c r="A24" s="13">
        <v>45919</v>
      </c>
      <c r="B24" s="15">
        <v>2070.5</v>
      </c>
      <c r="C24" s="11">
        <v>317.60000000000002</v>
      </c>
      <c r="D24" s="18">
        <v>1595.4</v>
      </c>
      <c r="E24" s="7">
        <f t="shared" si="9"/>
        <v>2065.2400000000002</v>
      </c>
      <c r="F24" s="7">
        <f t="shared" si="12"/>
        <v>2036.6950000000002</v>
      </c>
      <c r="G24" s="4"/>
      <c r="H24" s="4"/>
      <c r="I24" s="7">
        <f t="shared" si="4"/>
        <v>1.9000000000000909</v>
      </c>
      <c r="J24" s="4">
        <f t="shared" si="0"/>
        <v>1.9000000000000909</v>
      </c>
      <c r="K24" s="4" t="str">
        <f t="shared" si="1"/>
        <v xml:space="preserve"> </v>
      </c>
      <c r="L24" s="5">
        <f t="shared" si="10"/>
        <v>310.44000000000005</v>
      </c>
      <c r="M24" s="5">
        <f t="shared" si="13"/>
        <v>306.31250000000006</v>
      </c>
      <c r="N24" s="5"/>
      <c r="O24" s="5"/>
      <c r="P24" s="5">
        <f t="shared" si="5"/>
        <v>3.9000000000000341</v>
      </c>
      <c r="Q24" s="5">
        <f t="shared" si="6"/>
        <v>3.9000000000000341</v>
      </c>
      <c r="R24" s="5" t="str">
        <f t="shared" si="7"/>
        <v xml:space="preserve"> </v>
      </c>
      <c r="S24" s="8">
        <f t="shared" si="11"/>
        <v>1613.1200000000001</v>
      </c>
      <c r="T24" s="8">
        <f t="shared" si="14"/>
        <v>1622.8250000000003</v>
      </c>
      <c r="U24" s="6"/>
      <c r="V24" s="6"/>
      <c r="W24" s="8">
        <f t="shared" si="8"/>
        <v>-32.599999999999909</v>
      </c>
      <c r="X24" s="6" t="str">
        <f t="shared" si="2"/>
        <v xml:space="preserve"> </v>
      </c>
      <c r="Y24" s="6">
        <f t="shared" si="3"/>
        <v>-32.599999999999909</v>
      </c>
    </row>
    <row r="25" spans="1:25" x14ac:dyDescent="0.35">
      <c r="A25" s="13">
        <v>45918</v>
      </c>
      <c r="B25" s="15">
        <v>2064.5</v>
      </c>
      <c r="C25" s="11">
        <v>317.3</v>
      </c>
      <c r="D25" s="18">
        <v>1581</v>
      </c>
      <c r="E25" s="7">
        <f t="shared" si="9"/>
        <v>2071.54</v>
      </c>
      <c r="F25" s="7">
        <f t="shared" si="12"/>
        <v>2035.8649999999998</v>
      </c>
      <c r="G25" s="4"/>
      <c r="H25" s="4"/>
      <c r="I25" s="7">
        <f t="shared" si="4"/>
        <v>-6</v>
      </c>
      <c r="J25" s="4" t="str">
        <f t="shared" si="0"/>
        <v xml:space="preserve"> </v>
      </c>
      <c r="K25" s="4">
        <f t="shared" si="1"/>
        <v>-6</v>
      </c>
      <c r="L25" s="5">
        <f t="shared" si="10"/>
        <v>313.58</v>
      </c>
      <c r="M25" s="5">
        <f t="shared" si="13"/>
        <v>306.71250000000003</v>
      </c>
      <c r="N25" s="5"/>
      <c r="O25" s="5"/>
      <c r="P25" s="5">
        <f t="shared" si="5"/>
        <v>-0.30000000000001137</v>
      </c>
      <c r="Q25" s="5" t="str">
        <f t="shared" si="6"/>
        <v xml:space="preserve"> </v>
      </c>
      <c r="R25" s="5">
        <f t="shared" si="7"/>
        <v>-0.30000000000001137</v>
      </c>
      <c r="S25" s="8">
        <f t="shared" si="11"/>
        <v>1611.1200000000001</v>
      </c>
      <c r="T25" s="8">
        <f t="shared" si="14"/>
        <v>1619.125</v>
      </c>
      <c r="U25" s="6"/>
      <c r="V25" s="6"/>
      <c r="W25" s="8">
        <f t="shared" si="8"/>
        <v>-14.400000000000091</v>
      </c>
      <c r="X25" s="6" t="str">
        <f t="shared" si="2"/>
        <v xml:space="preserve"> </v>
      </c>
      <c r="Y25" s="6">
        <f t="shared" si="3"/>
        <v>-14.400000000000091</v>
      </c>
    </row>
    <row r="26" spans="1:25" x14ac:dyDescent="0.35">
      <c r="A26" s="13">
        <v>45917</v>
      </c>
      <c r="B26" s="15">
        <v>2060</v>
      </c>
      <c r="C26" s="11">
        <v>315.85000000000002</v>
      </c>
      <c r="D26" s="18">
        <v>1577</v>
      </c>
      <c r="E26" s="7">
        <f t="shared" si="9"/>
        <v>2069.52</v>
      </c>
      <c r="F26" s="7">
        <f t="shared" si="12"/>
        <v>2034.47</v>
      </c>
      <c r="G26" s="4"/>
      <c r="H26" s="4"/>
      <c r="I26" s="7">
        <f t="shared" si="4"/>
        <v>-4.5</v>
      </c>
      <c r="J26" s="4" t="str">
        <f t="shared" si="0"/>
        <v xml:space="preserve"> </v>
      </c>
      <c r="K26" s="4">
        <f t="shared" si="1"/>
        <v>-4.5</v>
      </c>
      <c r="L26" s="5">
        <f t="shared" si="10"/>
        <v>315.5</v>
      </c>
      <c r="M26" s="5">
        <f t="shared" si="13"/>
        <v>306.90000000000003</v>
      </c>
      <c r="N26" s="5"/>
      <c r="O26" s="5"/>
      <c r="P26" s="5">
        <f t="shared" si="5"/>
        <v>-1.4499999999999886</v>
      </c>
      <c r="Q26" s="5" t="str">
        <f t="shared" si="6"/>
        <v xml:space="preserve"> </v>
      </c>
      <c r="R26" s="5">
        <f t="shared" si="7"/>
        <v>-1.4499999999999886</v>
      </c>
      <c r="S26" s="8">
        <f t="shared" si="11"/>
        <v>1601.02</v>
      </c>
      <c r="T26" s="8">
        <f t="shared" si="14"/>
        <v>1614.7400000000002</v>
      </c>
      <c r="U26" s="6"/>
      <c r="V26" s="6"/>
      <c r="W26" s="8">
        <f t="shared" si="8"/>
        <v>-4</v>
      </c>
      <c r="X26" s="6" t="str">
        <f t="shared" si="2"/>
        <v xml:space="preserve"> </v>
      </c>
      <c r="Y26" s="6">
        <f t="shared" si="3"/>
        <v>-4</v>
      </c>
    </row>
    <row r="27" spans="1:25" x14ac:dyDescent="0.35">
      <c r="A27" s="13">
        <v>45916</v>
      </c>
      <c r="B27" s="15">
        <v>2082</v>
      </c>
      <c r="C27" s="11">
        <v>315.8</v>
      </c>
      <c r="D27" s="18">
        <v>1586</v>
      </c>
      <c r="E27" s="7">
        <f t="shared" si="9"/>
        <v>2069.12</v>
      </c>
      <c r="F27" s="7">
        <f t="shared" si="12"/>
        <v>2034.425</v>
      </c>
      <c r="G27" s="4"/>
      <c r="H27" s="4"/>
      <c r="I27" s="7">
        <f t="shared" si="4"/>
        <v>22</v>
      </c>
      <c r="J27" s="4">
        <f t="shared" si="0"/>
        <v>22</v>
      </c>
      <c r="K27" s="4" t="str">
        <f t="shared" si="1"/>
        <v xml:space="preserve"> </v>
      </c>
      <c r="L27" s="5">
        <f t="shared" si="10"/>
        <v>316.04999999999995</v>
      </c>
      <c r="M27" s="5">
        <f t="shared" si="13"/>
        <v>307.05000000000007</v>
      </c>
      <c r="N27" s="5"/>
      <c r="O27" s="5"/>
      <c r="P27" s="5">
        <f t="shared" si="5"/>
        <v>-5.0000000000011369E-2</v>
      </c>
      <c r="Q27" s="5" t="str">
        <f t="shared" si="6"/>
        <v xml:space="preserve"> </v>
      </c>
      <c r="R27" s="5">
        <f t="shared" si="7"/>
        <v>-5.0000000000011369E-2</v>
      </c>
      <c r="S27" s="8">
        <f t="shared" si="11"/>
        <v>1593.48</v>
      </c>
      <c r="T27" s="8">
        <f t="shared" si="14"/>
        <v>1608.79</v>
      </c>
      <c r="U27" s="6"/>
      <c r="V27" s="6"/>
      <c r="W27" s="8">
        <f t="shared" si="8"/>
        <v>9</v>
      </c>
      <c r="X27" s="6">
        <f t="shared" si="2"/>
        <v>9</v>
      </c>
      <c r="Y27" s="6" t="str">
        <f t="shared" si="3"/>
        <v xml:space="preserve"> </v>
      </c>
    </row>
    <row r="28" spans="1:25" x14ac:dyDescent="0.35">
      <c r="A28" s="13">
        <v>45915</v>
      </c>
      <c r="B28" s="15">
        <v>2080.8000000000002</v>
      </c>
      <c r="C28" s="11">
        <v>315.5</v>
      </c>
      <c r="D28" s="18">
        <v>1519.5</v>
      </c>
      <c r="E28" s="7">
        <f t="shared" si="9"/>
        <v>2071.56</v>
      </c>
      <c r="F28" s="7">
        <f t="shared" si="12"/>
        <v>2037.47</v>
      </c>
      <c r="G28" s="4"/>
      <c r="H28" s="4"/>
      <c r="I28" s="7">
        <f t="shared" si="4"/>
        <v>-1.1999999999998181</v>
      </c>
      <c r="J28" s="4" t="str">
        <f t="shared" si="0"/>
        <v xml:space="preserve"> </v>
      </c>
      <c r="K28" s="4">
        <f t="shared" si="1"/>
        <v>-1.1999999999998181</v>
      </c>
      <c r="L28" s="5">
        <f t="shared" si="10"/>
        <v>316.41000000000003</v>
      </c>
      <c r="M28" s="5">
        <f t="shared" si="13"/>
        <v>307.55</v>
      </c>
      <c r="N28" s="5"/>
      <c r="O28" s="5"/>
      <c r="P28" s="5">
        <f t="shared" si="5"/>
        <v>-0.30000000000001137</v>
      </c>
      <c r="Q28" s="5" t="str">
        <f t="shared" si="6"/>
        <v xml:space="preserve"> </v>
      </c>
      <c r="R28" s="5">
        <f t="shared" si="7"/>
        <v>-0.30000000000001137</v>
      </c>
      <c r="S28" s="8">
        <f t="shared" si="11"/>
        <v>1571.78</v>
      </c>
      <c r="T28" s="8">
        <f t="shared" si="14"/>
        <v>1602.26</v>
      </c>
      <c r="U28" s="6"/>
      <c r="V28" s="6"/>
      <c r="W28" s="8">
        <f t="shared" si="8"/>
        <v>-66.5</v>
      </c>
      <c r="X28" s="6" t="str">
        <f t="shared" si="2"/>
        <v xml:space="preserve"> </v>
      </c>
      <c r="Y28" s="6">
        <f t="shared" si="3"/>
        <v>-66.5</v>
      </c>
    </row>
    <row r="29" spans="1:25" x14ac:dyDescent="0.35">
      <c r="A29" s="13">
        <v>45912</v>
      </c>
      <c r="B29" s="15">
        <v>2083.1999999999998</v>
      </c>
      <c r="C29" s="11">
        <v>311.2</v>
      </c>
      <c r="D29" s="18">
        <v>1511</v>
      </c>
      <c r="E29" s="7">
        <f t="shared" si="9"/>
        <v>2074.1</v>
      </c>
      <c r="F29" s="7">
        <f t="shared" si="12"/>
        <v>2040.4349999999999</v>
      </c>
      <c r="G29" s="4"/>
      <c r="H29" s="4"/>
      <c r="I29" s="7">
        <f t="shared" si="4"/>
        <v>2.3999999999996362</v>
      </c>
      <c r="J29" s="4">
        <f t="shared" si="0"/>
        <v>2.3999999999996362</v>
      </c>
      <c r="K29" s="4" t="str">
        <f t="shared" si="1"/>
        <v xml:space="preserve"> </v>
      </c>
      <c r="L29" s="5">
        <f t="shared" si="10"/>
        <v>315.13</v>
      </c>
      <c r="M29" s="5">
        <f t="shared" si="13"/>
        <v>307.67750000000007</v>
      </c>
      <c r="N29" s="5"/>
      <c r="O29" s="5"/>
      <c r="P29" s="5">
        <f t="shared" si="5"/>
        <v>-4.3000000000000114</v>
      </c>
      <c r="Q29" s="5" t="str">
        <f t="shared" si="6"/>
        <v xml:space="preserve"> </v>
      </c>
      <c r="R29" s="5">
        <f t="shared" si="7"/>
        <v>-4.3000000000000114</v>
      </c>
      <c r="S29" s="8">
        <f t="shared" si="11"/>
        <v>1554.9</v>
      </c>
      <c r="T29" s="8">
        <f t="shared" si="14"/>
        <v>1595.6250000000002</v>
      </c>
      <c r="U29" s="6"/>
      <c r="V29" s="6"/>
      <c r="W29" s="8">
        <f t="shared" si="8"/>
        <v>-8.5</v>
      </c>
      <c r="X29" s="6" t="str">
        <f t="shared" si="2"/>
        <v xml:space="preserve"> </v>
      </c>
      <c r="Y29" s="6">
        <f t="shared" si="3"/>
        <v>-8.5</v>
      </c>
    </row>
    <row r="30" spans="1:25" x14ac:dyDescent="0.35">
      <c r="A30" s="13">
        <v>45911</v>
      </c>
      <c r="B30" s="15">
        <v>2037</v>
      </c>
      <c r="C30" s="11">
        <v>310.89999999999998</v>
      </c>
      <c r="D30" s="18">
        <v>1494</v>
      </c>
      <c r="E30" s="7">
        <f t="shared" si="9"/>
        <v>2068.6</v>
      </c>
      <c r="F30" s="7">
        <f t="shared" si="12"/>
        <v>2041.86</v>
      </c>
      <c r="G30" s="4"/>
      <c r="H30" s="4"/>
      <c r="I30" s="7">
        <f t="shared" si="4"/>
        <v>-46.199999999999818</v>
      </c>
      <c r="J30" s="4" t="str">
        <f t="shared" si="0"/>
        <v xml:space="preserve"> </v>
      </c>
      <c r="K30" s="4">
        <f t="shared" si="1"/>
        <v>-46.199999999999818</v>
      </c>
      <c r="L30" s="5">
        <f t="shared" si="10"/>
        <v>313.85000000000002</v>
      </c>
      <c r="M30" s="5">
        <f t="shared" si="13"/>
        <v>307.8125</v>
      </c>
      <c r="N30" s="5"/>
      <c r="O30" s="5"/>
      <c r="P30" s="5">
        <f t="shared" si="5"/>
        <v>-0.30000000000001137</v>
      </c>
      <c r="Q30" s="5" t="str">
        <f t="shared" si="6"/>
        <v xml:space="preserve"> </v>
      </c>
      <c r="R30" s="5">
        <f t="shared" si="7"/>
        <v>-0.30000000000001137</v>
      </c>
      <c r="S30" s="8">
        <f t="shared" si="11"/>
        <v>1537.5</v>
      </c>
      <c r="T30" s="8">
        <f t="shared" si="14"/>
        <v>1589.5450000000001</v>
      </c>
      <c r="U30" s="6"/>
      <c r="V30" s="6"/>
      <c r="W30" s="8">
        <f t="shared" si="8"/>
        <v>-17</v>
      </c>
      <c r="X30" s="6" t="str">
        <f t="shared" si="2"/>
        <v xml:space="preserve"> </v>
      </c>
      <c r="Y30" s="6">
        <f t="shared" si="3"/>
        <v>-17</v>
      </c>
    </row>
    <row r="31" spans="1:25" x14ac:dyDescent="0.35">
      <c r="A31" s="13">
        <v>45910</v>
      </c>
      <c r="B31" s="15">
        <v>2038</v>
      </c>
      <c r="C31" s="11">
        <v>310.35000000000002</v>
      </c>
      <c r="D31" s="18">
        <v>1528.4</v>
      </c>
      <c r="E31" s="7">
        <f t="shared" si="9"/>
        <v>2064.1999999999998</v>
      </c>
      <c r="F31" s="7">
        <f t="shared" si="12"/>
        <v>2043.1599999999999</v>
      </c>
      <c r="G31" s="4"/>
      <c r="H31" s="4"/>
      <c r="I31" s="7">
        <f t="shared" si="4"/>
        <v>1</v>
      </c>
      <c r="J31" s="4">
        <f t="shared" si="0"/>
        <v>1</v>
      </c>
      <c r="K31" s="4" t="str">
        <f t="shared" si="1"/>
        <v xml:space="preserve"> </v>
      </c>
      <c r="L31" s="5">
        <f t="shared" si="10"/>
        <v>312.75</v>
      </c>
      <c r="M31" s="5">
        <f t="shared" si="13"/>
        <v>307.97249999999997</v>
      </c>
      <c r="N31" s="5"/>
      <c r="O31" s="5"/>
      <c r="P31" s="5">
        <f t="shared" si="5"/>
        <v>-0.54999999999995453</v>
      </c>
      <c r="Q31" s="5" t="str">
        <f t="shared" si="6"/>
        <v xml:space="preserve"> </v>
      </c>
      <c r="R31" s="5">
        <f t="shared" si="7"/>
        <v>-0.54999999999995453</v>
      </c>
      <c r="S31" s="8">
        <f t="shared" si="11"/>
        <v>1527.78</v>
      </c>
      <c r="T31" s="8">
        <f t="shared" si="14"/>
        <v>1584.9550000000002</v>
      </c>
      <c r="U31" s="6"/>
      <c r="V31" s="6"/>
      <c r="W31" s="8">
        <f t="shared" si="8"/>
        <v>34.400000000000091</v>
      </c>
      <c r="X31" s="6">
        <f t="shared" si="2"/>
        <v>34.400000000000091</v>
      </c>
      <c r="Y31" s="6" t="str">
        <f t="shared" si="3"/>
        <v xml:space="preserve"> </v>
      </c>
    </row>
    <row r="32" spans="1:25" x14ac:dyDescent="0.35">
      <c r="A32" s="13">
        <v>45909</v>
      </c>
      <c r="B32" s="15">
        <v>2026.6</v>
      </c>
      <c r="C32" s="11">
        <v>308.60000000000002</v>
      </c>
      <c r="D32" s="18">
        <v>1506</v>
      </c>
      <c r="E32" s="7">
        <f t="shared" si="9"/>
        <v>2053.12</v>
      </c>
      <c r="F32" s="7">
        <f t="shared" si="12"/>
        <v>2043.9799999999996</v>
      </c>
      <c r="G32" s="4"/>
      <c r="H32" s="4"/>
      <c r="I32" s="7">
        <f t="shared" si="4"/>
        <v>-11.400000000000091</v>
      </c>
      <c r="J32" s="4" t="str">
        <f t="shared" si="0"/>
        <v xml:space="preserve"> </v>
      </c>
      <c r="K32" s="4">
        <f t="shared" si="1"/>
        <v>-11.400000000000091</v>
      </c>
      <c r="L32" s="5">
        <f t="shared" si="10"/>
        <v>311.31000000000006</v>
      </c>
      <c r="M32" s="5">
        <f t="shared" si="13"/>
        <v>308.16750000000002</v>
      </c>
      <c r="N32" s="5"/>
      <c r="O32" s="5"/>
      <c r="P32" s="5">
        <f t="shared" si="5"/>
        <v>-1.75</v>
      </c>
      <c r="Q32" s="5" t="str">
        <f t="shared" si="6"/>
        <v xml:space="preserve"> </v>
      </c>
      <c r="R32" s="5">
        <f t="shared" si="7"/>
        <v>-1.75</v>
      </c>
      <c r="S32" s="8">
        <f t="shared" si="11"/>
        <v>1511.78</v>
      </c>
      <c r="T32" s="8">
        <f t="shared" si="14"/>
        <v>1579.7400000000002</v>
      </c>
      <c r="U32" s="6"/>
      <c r="V32" s="6"/>
      <c r="W32" s="8">
        <f t="shared" si="8"/>
        <v>-22.400000000000091</v>
      </c>
      <c r="X32" s="6" t="str">
        <f t="shared" si="2"/>
        <v xml:space="preserve"> </v>
      </c>
      <c r="Y32" s="6">
        <f t="shared" si="3"/>
        <v>-22.400000000000091</v>
      </c>
    </row>
    <row r="33" spans="1:25" x14ac:dyDescent="0.35">
      <c r="A33" s="13">
        <v>45908</v>
      </c>
      <c r="B33" s="15">
        <v>2010</v>
      </c>
      <c r="C33" s="11">
        <v>310.85000000000002</v>
      </c>
      <c r="D33" s="18">
        <v>1491.1</v>
      </c>
      <c r="E33" s="7">
        <f t="shared" si="9"/>
        <v>2038.9599999999998</v>
      </c>
      <c r="F33" s="7">
        <f t="shared" si="12"/>
        <v>2042.98</v>
      </c>
      <c r="G33" s="4"/>
      <c r="H33" s="4"/>
      <c r="I33" s="7">
        <f t="shared" si="4"/>
        <v>-16.599999999999909</v>
      </c>
      <c r="J33" s="4" t="str">
        <f t="shared" si="0"/>
        <v xml:space="preserve"> </v>
      </c>
      <c r="K33" s="4">
        <f t="shared" si="1"/>
        <v>-16.599999999999909</v>
      </c>
      <c r="L33" s="5">
        <f t="shared" si="10"/>
        <v>310.38</v>
      </c>
      <c r="M33" s="5">
        <f t="shared" si="13"/>
        <v>308.18</v>
      </c>
      <c r="N33" s="5"/>
      <c r="O33" s="5"/>
      <c r="P33" s="5">
        <f t="shared" si="5"/>
        <v>2.25</v>
      </c>
      <c r="Q33" s="5">
        <f t="shared" si="6"/>
        <v>2.25</v>
      </c>
      <c r="R33" s="5" t="str">
        <f t="shared" si="7"/>
        <v xml:space="preserve"> </v>
      </c>
      <c r="S33" s="8">
        <f t="shared" si="11"/>
        <v>1506.1</v>
      </c>
      <c r="T33" s="8">
        <f t="shared" si="14"/>
        <v>1572.96</v>
      </c>
      <c r="U33" s="6"/>
      <c r="V33" s="6"/>
      <c r="W33" s="8">
        <f t="shared" si="8"/>
        <v>-14.900000000000091</v>
      </c>
      <c r="X33" s="6" t="str">
        <f t="shared" si="2"/>
        <v xml:space="preserve"> </v>
      </c>
      <c r="Y33" s="6">
        <f t="shared" si="3"/>
        <v>-14.900000000000091</v>
      </c>
    </row>
    <row r="34" spans="1:25" x14ac:dyDescent="0.35">
      <c r="A34" s="13">
        <v>45905</v>
      </c>
      <c r="B34" s="15">
        <v>2015</v>
      </c>
      <c r="C34" s="11">
        <v>310</v>
      </c>
      <c r="D34" s="18">
        <v>1491</v>
      </c>
      <c r="E34" s="7">
        <f t="shared" si="9"/>
        <v>2025.3200000000002</v>
      </c>
      <c r="F34" s="7">
        <f t="shared" si="12"/>
        <v>2042.175</v>
      </c>
      <c r="G34" s="4"/>
      <c r="H34" s="4"/>
      <c r="I34" s="7">
        <f t="shared" si="4"/>
        <v>5</v>
      </c>
      <c r="J34" s="4">
        <f t="shared" si="0"/>
        <v>5</v>
      </c>
      <c r="K34" s="4" t="str">
        <f t="shared" si="1"/>
        <v xml:space="preserve"> </v>
      </c>
      <c r="L34" s="5">
        <f t="shared" si="10"/>
        <v>310.14</v>
      </c>
      <c r="M34" s="5">
        <f t="shared" si="13"/>
        <v>308.37500000000006</v>
      </c>
      <c r="N34" s="5"/>
      <c r="O34" s="5"/>
      <c r="P34" s="5">
        <f t="shared" si="5"/>
        <v>-0.85000000000002274</v>
      </c>
      <c r="Q34" s="5" t="str">
        <f t="shared" si="6"/>
        <v xml:space="preserve"> </v>
      </c>
      <c r="R34" s="5">
        <f t="shared" si="7"/>
        <v>-0.85000000000002274</v>
      </c>
      <c r="S34" s="8">
        <f t="shared" si="11"/>
        <v>1502.1</v>
      </c>
      <c r="T34" s="8">
        <f t="shared" si="14"/>
        <v>1565.17</v>
      </c>
      <c r="U34" s="6"/>
      <c r="V34" s="6"/>
      <c r="W34" s="8">
        <f t="shared" si="8"/>
        <v>-9.9999999999909051E-2</v>
      </c>
      <c r="X34" s="6" t="str">
        <f t="shared" si="2"/>
        <v xml:space="preserve"> </v>
      </c>
      <c r="Y34" s="6">
        <f t="shared" si="3"/>
        <v>-9.9999999999909051E-2</v>
      </c>
    </row>
    <row r="35" spans="1:25" x14ac:dyDescent="0.35">
      <c r="A35" s="13">
        <v>45904</v>
      </c>
      <c r="B35" s="15">
        <v>2003</v>
      </c>
      <c r="C35" s="11">
        <v>309.8</v>
      </c>
      <c r="D35" s="18">
        <v>1463</v>
      </c>
      <c r="E35" s="7">
        <f t="shared" si="9"/>
        <v>2018.52</v>
      </c>
      <c r="F35" s="7">
        <f t="shared" si="12"/>
        <v>2042.6149999999998</v>
      </c>
      <c r="G35" s="4"/>
      <c r="H35" s="4"/>
      <c r="I35" s="7">
        <f t="shared" si="4"/>
        <v>-12</v>
      </c>
      <c r="J35" s="4" t="str">
        <f t="shared" si="0"/>
        <v xml:space="preserve"> </v>
      </c>
      <c r="K35" s="4">
        <f t="shared" si="1"/>
        <v>-12</v>
      </c>
      <c r="L35" s="5">
        <f t="shared" si="10"/>
        <v>309.92</v>
      </c>
      <c r="M35" s="5">
        <f t="shared" si="13"/>
        <v>308.73500000000001</v>
      </c>
      <c r="N35" s="5"/>
      <c r="O35" s="5"/>
      <c r="P35" s="5">
        <f t="shared" si="5"/>
        <v>-0.19999999999998863</v>
      </c>
      <c r="Q35" s="5" t="str">
        <f t="shared" si="6"/>
        <v xml:space="preserve"> </v>
      </c>
      <c r="R35" s="5">
        <f t="shared" si="7"/>
        <v>-0.19999999999998863</v>
      </c>
      <c r="S35" s="8">
        <f t="shared" si="11"/>
        <v>1495.9</v>
      </c>
      <c r="T35" s="8">
        <f t="shared" si="14"/>
        <v>1559.72</v>
      </c>
      <c r="U35" s="6"/>
      <c r="V35" s="6"/>
      <c r="W35" s="8">
        <f t="shared" si="8"/>
        <v>-28</v>
      </c>
      <c r="X35" s="6" t="str">
        <f t="shared" si="2"/>
        <v xml:space="preserve"> </v>
      </c>
      <c r="Y35" s="6">
        <f t="shared" si="3"/>
        <v>-28</v>
      </c>
    </row>
    <row r="36" spans="1:25" x14ac:dyDescent="0.35">
      <c r="A36" s="13">
        <v>45903</v>
      </c>
      <c r="B36" s="15">
        <v>1971</v>
      </c>
      <c r="C36" s="11">
        <v>313.89999999999998</v>
      </c>
      <c r="D36" s="18">
        <v>1444</v>
      </c>
      <c r="E36" s="7">
        <f t="shared" si="9"/>
        <v>2005.1200000000001</v>
      </c>
      <c r="F36" s="7">
        <f t="shared" si="12"/>
        <v>2040.6650000000002</v>
      </c>
      <c r="G36" s="4"/>
      <c r="H36" s="4"/>
      <c r="I36" s="7">
        <f t="shared" si="4"/>
        <v>-32</v>
      </c>
      <c r="J36" s="4" t="str">
        <f t="shared" si="0"/>
        <v xml:space="preserve"> </v>
      </c>
      <c r="K36" s="4">
        <f t="shared" si="1"/>
        <v>-32</v>
      </c>
      <c r="L36" s="5">
        <f t="shared" si="10"/>
        <v>310.63</v>
      </c>
      <c r="M36" s="5">
        <f t="shared" si="13"/>
        <v>309.39000000000004</v>
      </c>
      <c r="N36" s="5"/>
      <c r="O36" s="5"/>
      <c r="P36" s="5">
        <f t="shared" si="5"/>
        <v>4.0999999999999659</v>
      </c>
      <c r="Q36" s="5">
        <f t="shared" si="6"/>
        <v>4.0999999999999659</v>
      </c>
      <c r="R36" s="5" t="str">
        <f t="shared" si="7"/>
        <v xml:space="preserve"> </v>
      </c>
      <c r="S36" s="8">
        <f t="shared" si="11"/>
        <v>1479.02</v>
      </c>
      <c r="T36" s="8">
        <f t="shared" si="14"/>
        <v>1551.77</v>
      </c>
      <c r="U36" s="6"/>
      <c r="V36" s="6"/>
      <c r="W36" s="8">
        <f t="shared" si="8"/>
        <v>-19</v>
      </c>
      <c r="X36" s="6" t="str">
        <f t="shared" si="2"/>
        <v xml:space="preserve"> </v>
      </c>
      <c r="Y36" s="6">
        <f t="shared" si="3"/>
        <v>-19</v>
      </c>
    </row>
    <row r="37" spans="1:25" x14ac:dyDescent="0.35">
      <c r="A37" s="13">
        <v>45902</v>
      </c>
      <c r="B37" s="15">
        <v>1957</v>
      </c>
      <c r="C37" s="11">
        <v>311.7</v>
      </c>
      <c r="D37" s="18">
        <v>1433</v>
      </c>
      <c r="E37" s="7">
        <f t="shared" si="9"/>
        <v>1991.2</v>
      </c>
      <c r="F37" s="7">
        <f t="shared" si="12"/>
        <v>2038.4650000000001</v>
      </c>
      <c r="G37" s="4"/>
      <c r="H37" s="4"/>
      <c r="I37" s="7">
        <f t="shared" si="4"/>
        <v>-14</v>
      </c>
      <c r="J37" s="4" t="str">
        <f t="shared" si="0"/>
        <v xml:space="preserve"> </v>
      </c>
      <c r="K37" s="4">
        <f t="shared" si="1"/>
        <v>-14</v>
      </c>
      <c r="L37" s="5">
        <f t="shared" si="10"/>
        <v>311.25000000000006</v>
      </c>
      <c r="M37" s="5">
        <f t="shared" si="13"/>
        <v>310.27500000000003</v>
      </c>
      <c r="N37" s="5"/>
      <c r="O37" s="5"/>
      <c r="P37" s="5">
        <f t="shared" si="5"/>
        <v>-2.1999999999999886</v>
      </c>
      <c r="Q37" s="5" t="str">
        <f t="shared" si="6"/>
        <v xml:space="preserve"> </v>
      </c>
      <c r="R37" s="5">
        <f t="shared" si="7"/>
        <v>-2.1999999999999886</v>
      </c>
      <c r="S37" s="8">
        <f t="shared" si="11"/>
        <v>1464.42</v>
      </c>
      <c r="T37" s="8">
        <f t="shared" si="14"/>
        <v>1542.8799999999999</v>
      </c>
      <c r="U37" s="6"/>
      <c r="V37" s="6"/>
      <c r="W37" s="8">
        <f t="shared" si="8"/>
        <v>-11</v>
      </c>
      <c r="X37" s="6" t="str">
        <f t="shared" si="2"/>
        <v xml:space="preserve"> </v>
      </c>
      <c r="Y37" s="6">
        <f t="shared" si="3"/>
        <v>-11</v>
      </c>
    </row>
    <row r="38" spans="1:25" x14ac:dyDescent="0.35">
      <c r="A38" s="13">
        <v>45901</v>
      </c>
      <c r="B38" s="15">
        <v>1942.9</v>
      </c>
      <c r="C38" s="11">
        <v>314.39999999999998</v>
      </c>
      <c r="D38" s="18">
        <v>1450.3</v>
      </c>
      <c r="E38" s="7">
        <f t="shared" si="9"/>
        <v>1977.78</v>
      </c>
      <c r="F38" s="7">
        <f t="shared" si="12"/>
        <v>2035.0100000000002</v>
      </c>
      <c r="G38" s="4"/>
      <c r="H38" s="4"/>
      <c r="I38" s="7">
        <f t="shared" si="4"/>
        <v>-14.099999999999909</v>
      </c>
      <c r="J38" s="4" t="str">
        <f t="shared" si="0"/>
        <v xml:space="preserve"> </v>
      </c>
      <c r="K38" s="4">
        <f t="shared" si="1"/>
        <v>-14.099999999999909</v>
      </c>
      <c r="L38" s="5">
        <f t="shared" si="10"/>
        <v>311.95999999999992</v>
      </c>
      <c r="M38" s="5">
        <f t="shared" si="13"/>
        <v>311.23500000000001</v>
      </c>
      <c r="N38" s="5"/>
      <c r="O38" s="5"/>
      <c r="P38" s="5">
        <f t="shared" si="5"/>
        <v>2.6999999999999886</v>
      </c>
      <c r="Q38" s="5">
        <f t="shared" si="6"/>
        <v>2.6999999999999886</v>
      </c>
      <c r="R38" s="5" t="str">
        <f t="shared" si="7"/>
        <v xml:space="preserve"> </v>
      </c>
      <c r="S38" s="8">
        <f t="shared" si="11"/>
        <v>1456.26</v>
      </c>
      <c r="T38" s="8">
        <f t="shared" si="14"/>
        <v>1535.66</v>
      </c>
      <c r="U38" s="6"/>
      <c r="V38" s="6"/>
      <c r="W38" s="8">
        <f t="shared" si="8"/>
        <v>17.299999999999955</v>
      </c>
      <c r="X38" s="6">
        <f t="shared" si="2"/>
        <v>17.299999999999955</v>
      </c>
      <c r="Y38" s="6" t="str">
        <f t="shared" si="3"/>
        <v xml:space="preserve"> </v>
      </c>
    </row>
    <row r="39" spans="1:25" x14ac:dyDescent="0.35">
      <c r="A39" s="13">
        <v>45898</v>
      </c>
      <c r="B39" s="15">
        <v>1916</v>
      </c>
      <c r="C39" s="11">
        <v>311.3</v>
      </c>
      <c r="D39" s="18">
        <v>1423.7</v>
      </c>
      <c r="E39" s="7">
        <f t="shared" si="9"/>
        <v>1957.98</v>
      </c>
      <c r="F39" s="7">
        <f t="shared" si="12"/>
        <v>2030.6600000000003</v>
      </c>
      <c r="G39" s="4"/>
      <c r="H39" s="4"/>
      <c r="I39" s="7">
        <f t="shared" si="4"/>
        <v>-26.900000000000091</v>
      </c>
      <c r="J39" s="4" t="str">
        <f t="shared" si="0"/>
        <v xml:space="preserve"> </v>
      </c>
      <c r="K39" s="4">
        <f t="shared" si="1"/>
        <v>-26.900000000000091</v>
      </c>
      <c r="L39" s="5">
        <f t="shared" si="10"/>
        <v>312.22000000000003</v>
      </c>
      <c r="M39" s="5">
        <f t="shared" si="13"/>
        <v>311.98249999999996</v>
      </c>
      <c r="N39" s="5"/>
      <c r="O39" s="5"/>
      <c r="P39" s="5">
        <f t="shared" si="5"/>
        <v>-3.0999999999999659</v>
      </c>
      <c r="Q39" s="5" t="str">
        <f t="shared" si="6"/>
        <v xml:space="preserve"> </v>
      </c>
      <c r="R39" s="5">
        <f t="shared" si="7"/>
        <v>-3.0999999999999659</v>
      </c>
      <c r="S39" s="8">
        <f t="shared" si="11"/>
        <v>1442.8</v>
      </c>
      <c r="T39" s="8">
        <f t="shared" si="14"/>
        <v>1528.23</v>
      </c>
      <c r="U39" s="6"/>
      <c r="V39" s="6"/>
      <c r="W39" s="8">
        <f t="shared" si="8"/>
        <v>-26.599999999999909</v>
      </c>
      <c r="X39" s="6" t="str">
        <f t="shared" si="2"/>
        <v xml:space="preserve"> </v>
      </c>
      <c r="Y39" s="6">
        <f t="shared" si="3"/>
        <v>-26.599999999999909</v>
      </c>
    </row>
    <row r="40" spans="1:25" x14ac:dyDescent="0.35">
      <c r="A40" s="13">
        <v>45897</v>
      </c>
      <c r="B40" s="15">
        <v>1917</v>
      </c>
      <c r="C40" s="11">
        <v>311.25</v>
      </c>
      <c r="D40" s="18">
        <v>1442</v>
      </c>
      <c r="E40" s="7">
        <f t="shared" si="9"/>
        <v>1940.78</v>
      </c>
      <c r="F40" s="7">
        <f t="shared" si="12"/>
        <v>2024.8600000000001</v>
      </c>
      <c r="G40" s="4"/>
      <c r="H40" s="4"/>
      <c r="I40" s="7">
        <f t="shared" si="4"/>
        <v>1</v>
      </c>
      <c r="J40" s="4">
        <f t="shared" si="0"/>
        <v>1</v>
      </c>
      <c r="K40" s="4" t="str">
        <f t="shared" si="1"/>
        <v xml:space="preserve"> </v>
      </c>
      <c r="L40" s="5">
        <f t="shared" si="10"/>
        <v>312.51</v>
      </c>
      <c r="M40" s="5">
        <f t="shared" si="13"/>
        <v>312.46499999999997</v>
      </c>
      <c r="N40" s="5"/>
      <c r="O40" s="5"/>
      <c r="P40" s="5">
        <f t="shared" si="5"/>
        <v>-5.0000000000011369E-2</v>
      </c>
      <c r="Q40" s="5" t="str">
        <f t="shared" si="6"/>
        <v xml:space="preserve"> </v>
      </c>
      <c r="R40" s="5">
        <f t="shared" si="7"/>
        <v>-5.0000000000011369E-2</v>
      </c>
      <c r="S40" s="8">
        <f t="shared" si="11"/>
        <v>1438.6</v>
      </c>
      <c r="T40" s="8">
        <f t="shared" si="14"/>
        <v>1520.78</v>
      </c>
      <c r="U40" s="6"/>
      <c r="V40" s="6"/>
      <c r="W40" s="8">
        <f t="shared" si="8"/>
        <v>18.299999999999955</v>
      </c>
      <c r="X40" s="6">
        <f t="shared" si="2"/>
        <v>18.299999999999955</v>
      </c>
      <c r="Y40" s="6" t="str">
        <f t="shared" si="3"/>
        <v xml:space="preserve"> </v>
      </c>
    </row>
    <row r="41" spans="1:25" x14ac:dyDescent="0.35">
      <c r="A41" s="13">
        <v>45895</v>
      </c>
      <c r="B41" s="15">
        <v>1921</v>
      </c>
      <c r="C41" s="11">
        <v>315.75</v>
      </c>
      <c r="D41" s="18">
        <v>1477.7</v>
      </c>
      <c r="E41" s="7">
        <f t="shared" si="9"/>
        <v>1930.78</v>
      </c>
      <c r="F41" s="7">
        <f t="shared" si="12"/>
        <v>2017.405</v>
      </c>
      <c r="G41" s="4"/>
      <c r="H41" s="4"/>
      <c r="I41" s="7">
        <f t="shared" si="4"/>
        <v>4</v>
      </c>
      <c r="J41" s="4">
        <f t="shared" si="0"/>
        <v>4</v>
      </c>
      <c r="K41" s="4" t="str">
        <f t="shared" si="1"/>
        <v xml:space="preserve"> </v>
      </c>
      <c r="L41" s="5">
        <f t="shared" si="10"/>
        <v>312.88</v>
      </c>
      <c r="M41" s="5">
        <f t="shared" si="13"/>
        <v>312.93999999999994</v>
      </c>
      <c r="N41" s="5"/>
      <c r="O41" s="5"/>
      <c r="P41" s="5">
        <f t="shared" si="5"/>
        <v>4.5</v>
      </c>
      <c r="Q41" s="5">
        <f t="shared" si="6"/>
        <v>4.5</v>
      </c>
      <c r="R41" s="5" t="str">
        <f t="shared" si="7"/>
        <v xml:space="preserve"> </v>
      </c>
      <c r="S41" s="8">
        <f t="shared" si="11"/>
        <v>1445.34</v>
      </c>
      <c r="T41" s="8">
        <f t="shared" si="14"/>
        <v>1513.29</v>
      </c>
      <c r="U41" s="6"/>
      <c r="V41" s="6"/>
      <c r="W41" s="8">
        <f t="shared" si="8"/>
        <v>35.700000000000045</v>
      </c>
      <c r="X41" s="6">
        <f t="shared" si="2"/>
        <v>35.700000000000045</v>
      </c>
      <c r="Y41" s="6" t="str">
        <f t="shared" si="3"/>
        <v xml:space="preserve"> </v>
      </c>
    </row>
    <row r="42" spans="1:25" x14ac:dyDescent="0.35">
      <c r="A42" s="13">
        <v>45894</v>
      </c>
      <c r="B42" s="15">
        <v>1964</v>
      </c>
      <c r="C42" s="11">
        <v>319.55</v>
      </c>
      <c r="D42" s="18">
        <v>1510.6</v>
      </c>
      <c r="E42" s="7">
        <f t="shared" si="9"/>
        <v>1932.1799999999998</v>
      </c>
      <c r="F42" s="7">
        <f t="shared" si="12"/>
        <v>2011.4050000000002</v>
      </c>
      <c r="G42" s="4"/>
      <c r="H42" s="4"/>
      <c r="I42" s="7">
        <f t="shared" si="4"/>
        <v>43</v>
      </c>
      <c r="J42" s="4">
        <f t="shared" si="0"/>
        <v>43</v>
      </c>
      <c r="K42" s="4" t="str">
        <f t="shared" si="1"/>
        <v xml:space="preserve"> </v>
      </c>
      <c r="L42" s="5">
        <f t="shared" si="10"/>
        <v>314.45</v>
      </c>
      <c r="M42" s="5">
        <f t="shared" si="13"/>
        <v>313.26499999999999</v>
      </c>
      <c r="N42" s="5"/>
      <c r="O42" s="5"/>
      <c r="P42" s="5">
        <f t="shared" si="5"/>
        <v>3.8000000000000114</v>
      </c>
      <c r="Q42" s="5">
        <f t="shared" si="6"/>
        <v>3.8000000000000114</v>
      </c>
      <c r="R42" s="5" t="str">
        <f t="shared" si="7"/>
        <v xml:space="preserve"> </v>
      </c>
      <c r="S42" s="8">
        <f t="shared" si="11"/>
        <v>1460.86</v>
      </c>
      <c r="T42" s="8">
        <f t="shared" si="14"/>
        <v>1507.6349999999998</v>
      </c>
      <c r="U42" s="6"/>
      <c r="V42" s="6"/>
      <c r="W42" s="8">
        <f t="shared" si="8"/>
        <v>32.899999999999864</v>
      </c>
      <c r="X42" s="6">
        <f t="shared" si="2"/>
        <v>32.899999999999864</v>
      </c>
      <c r="Y42" s="6" t="str">
        <f t="shared" si="3"/>
        <v xml:space="preserve"> </v>
      </c>
    </row>
    <row r="43" spans="1:25" x14ac:dyDescent="0.35">
      <c r="A43" s="13">
        <v>45891</v>
      </c>
      <c r="B43" s="15">
        <v>1967.6</v>
      </c>
      <c r="C43" s="11">
        <v>320.5</v>
      </c>
      <c r="D43" s="18">
        <v>1522.3</v>
      </c>
      <c r="E43" s="7">
        <f t="shared" si="9"/>
        <v>1937.1200000000001</v>
      </c>
      <c r="F43" s="7">
        <f t="shared" si="12"/>
        <v>2006.355</v>
      </c>
      <c r="G43" s="4"/>
      <c r="H43" s="4"/>
      <c r="I43" s="7">
        <f t="shared" si="4"/>
        <v>3.5999999999999091</v>
      </c>
      <c r="J43" s="4">
        <f t="shared" si="0"/>
        <v>3.5999999999999091</v>
      </c>
      <c r="K43" s="4" t="str">
        <f t="shared" si="1"/>
        <v xml:space="preserve"> </v>
      </c>
      <c r="L43" s="5">
        <f t="shared" si="10"/>
        <v>315.66999999999996</v>
      </c>
      <c r="M43" s="5">
        <f t="shared" si="13"/>
        <v>313.60500000000002</v>
      </c>
      <c r="N43" s="5"/>
      <c r="O43" s="5"/>
      <c r="P43" s="5">
        <f t="shared" si="5"/>
        <v>0.94999999999998863</v>
      </c>
      <c r="Q43" s="5">
        <f t="shared" si="6"/>
        <v>0.94999999999998863</v>
      </c>
      <c r="R43" s="5" t="str">
        <f t="shared" si="7"/>
        <v xml:space="preserve"> </v>
      </c>
      <c r="S43" s="8">
        <f t="shared" si="11"/>
        <v>1475.26</v>
      </c>
      <c r="T43" s="8">
        <f t="shared" si="14"/>
        <v>1502.35</v>
      </c>
      <c r="U43" s="6"/>
      <c r="V43" s="6"/>
      <c r="W43" s="8">
        <f t="shared" si="8"/>
        <v>11.700000000000045</v>
      </c>
      <c r="X43" s="6">
        <f t="shared" si="2"/>
        <v>11.700000000000045</v>
      </c>
      <c r="Y43" s="6" t="str">
        <f t="shared" si="3"/>
        <v xml:space="preserve"> </v>
      </c>
    </row>
    <row r="44" spans="1:25" x14ac:dyDescent="0.35">
      <c r="A44" s="13">
        <v>45890</v>
      </c>
      <c r="B44" s="15">
        <v>1978.6</v>
      </c>
      <c r="C44" s="11">
        <v>324.05</v>
      </c>
      <c r="D44" s="18">
        <v>1518</v>
      </c>
      <c r="E44" s="7">
        <f t="shared" si="9"/>
        <v>1949.64</v>
      </c>
      <c r="F44" s="7">
        <f t="shared" si="12"/>
        <v>2001.7599999999998</v>
      </c>
      <c r="G44" s="4"/>
      <c r="H44" s="4"/>
      <c r="I44" s="7">
        <f t="shared" si="4"/>
        <v>11</v>
      </c>
      <c r="J44" s="4">
        <f t="shared" si="0"/>
        <v>11</v>
      </c>
      <c r="K44" s="4" t="str">
        <f t="shared" si="1"/>
        <v xml:space="preserve"> </v>
      </c>
      <c r="L44" s="5">
        <f t="shared" si="10"/>
        <v>318.21999999999997</v>
      </c>
      <c r="M44" s="5">
        <f t="shared" si="13"/>
        <v>313.92750000000001</v>
      </c>
      <c r="N44" s="5"/>
      <c r="O44" s="5"/>
      <c r="P44" s="5">
        <f t="shared" si="5"/>
        <v>3.5500000000000114</v>
      </c>
      <c r="Q44" s="5">
        <f t="shared" si="6"/>
        <v>3.5500000000000114</v>
      </c>
      <c r="R44" s="5" t="str">
        <f t="shared" si="7"/>
        <v xml:space="preserve"> </v>
      </c>
      <c r="S44" s="8">
        <f t="shared" si="11"/>
        <v>1494.12</v>
      </c>
      <c r="T44" s="8">
        <f t="shared" si="14"/>
        <v>1498.48</v>
      </c>
      <c r="U44" s="6"/>
      <c r="V44" s="6"/>
      <c r="W44" s="8">
        <f t="shared" si="8"/>
        <v>-4.2999999999999545</v>
      </c>
      <c r="X44" s="6" t="str">
        <f t="shared" si="2"/>
        <v xml:space="preserve"> </v>
      </c>
      <c r="Y44" s="6">
        <f t="shared" si="3"/>
        <v>-4.2999999999999545</v>
      </c>
    </row>
    <row r="45" spans="1:25" x14ac:dyDescent="0.35">
      <c r="A45" s="13">
        <v>45889</v>
      </c>
      <c r="B45" s="15">
        <v>1959</v>
      </c>
      <c r="C45" s="11">
        <v>328.5</v>
      </c>
      <c r="D45" s="18">
        <v>1524.5</v>
      </c>
      <c r="E45" s="7">
        <f t="shared" si="9"/>
        <v>1958.0400000000002</v>
      </c>
      <c r="F45" s="7">
        <f t="shared" si="12"/>
        <v>1996.4849999999999</v>
      </c>
      <c r="G45" s="4"/>
      <c r="H45" s="4"/>
      <c r="I45" s="7">
        <f t="shared" si="4"/>
        <v>-19.599999999999909</v>
      </c>
      <c r="J45" s="4" t="str">
        <f t="shared" si="0"/>
        <v xml:space="preserve"> </v>
      </c>
      <c r="K45" s="4">
        <f t="shared" si="1"/>
        <v>-19.599999999999909</v>
      </c>
      <c r="L45" s="5">
        <f t="shared" si="10"/>
        <v>321.66999999999996</v>
      </c>
      <c r="M45" s="5">
        <f t="shared" si="13"/>
        <v>314.48750000000001</v>
      </c>
      <c r="N45" s="5"/>
      <c r="O45" s="5"/>
      <c r="P45" s="5">
        <f t="shared" si="5"/>
        <v>4.4499999999999886</v>
      </c>
      <c r="Q45" s="5">
        <f t="shared" si="6"/>
        <v>4.4499999999999886</v>
      </c>
      <c r="R45" s="5" t="str">
        <f t="shared" si="7"/>
        <v xml:space="preserve"> </v>
      </c>
      <c r="S45" s="8">
        <f t="shared" si="11"/>
        <v>1510.6200000000001</v>
      </c>
      <c r="T45" s="8">
        <f t="shared" si="14"/>
        <v>1495.655</v>
      </c>
      <c r="U45" s="6"/>
      <c r="V45" s="6"/>
      <c r="W45" s="8">
        <f t="shared" si="8"/>
        <v>6.5</v>
      </c>
      <c r="X45" s="6">
        <f t="shared" si="2"/>
        <v>6.5</v>
      </c>
      <c r="Y45" s="6" t="str">
        <f t="shared" si="3"/>
        <v xml:space="preserve"> </v>
      </c>
    </row>
    <row r="46" spans="1:25" x14ac:dyDescent="0.35">
      <c r="A46" s="13">
        <v>45888</v>
      </c>
      <c r="B46" s="15">
        <v>1973.9</v>
      </c>
      <c r="C46" s="11">
        <v>331.4</v>
      </c>
      <c r="D46" s="18">
        <v>1525.2</v>
      </c>
      <c r="E46" s="7">
        <f t="shared" si="9"/>
        <v>1968.6200000000001</v>
      </c>
      <c r="F46" s="7">
        <f t="shared" si="12"/>
        <v>1992.1799999999998</v>
      </c>
      <c r="G46" s="4"/>
      <c r="H46" s="4"/>
      <c r="I46" s="7">
        <f t="shared" si="4"/>
        <v>14.900000000000091</v>
      </c>
      <c r="J46" s="4">
        <f t="shared" si="0"/>
        <v>14.900000000000091</v>
      </c>
      <c r="K46" s="4" t="str">
        <f t="shared" si="1"/>
        <v xml:space="preserve"> </v>
      </c>
      <c r="L46" s="5">
        <f t="shared" si="10"/>
        <v>324.8</v>
      </c>
      <c r="M46" s="5">
        <f t="shared" si="13"/>
        <v>315.26499999999999</v>
      </c>
      <c r="N46" s="5"/>
      <c r="O46" s="5"/>
      <c r="P46" s="5">
        <f t="shared" si="5"/>
        <v>2.8999999999999773</v>
      </c>
      <c r="Q46" s="5">
        <f t="shared" si="6"/>
        <v>2.8999999999999773</v>
      </c>
      <c r="R46" s="5" t="str">
        <f t="shared" si="7"/>
        <v xml:space="preserve"> </v>
      </c>
      <c r="S46" s="8">
        <f t="shared" si="11"/>
        <v>1520.12</v>
      </c>
      <c r="T46" s="8">
        <f t="shared" si="14"/>
        <v>1493.0650000000001</v>
      </c>
      <c r="U46" s="6"/>
      <c r="V46" s="6"/>
      <c r="W46" s="8">
        <f t="shared" si="8"/>
        <v>0.70000000000004547</v>
      </c>
      <c r="X46" s="6">
        <f t="shared" si="2"/>
        <v>0.70000000000004547</v>
      </c>
      <c r="Y46" s="6" t="str">
        <f t="shared" si="3"/>
        <v xml:space="preserve"> </v>
      </c>
    </row>
    <row r="47" spans="1:25" x14ac:dyDescent="0.35">
      <c r="A47" s="13">
        <v>45887</v>
      </c>
      <c r="B47" s="15">
        <v>1995</v>
      </c>
      <c r="C47" s="11">
        <v>329.7</v>
      </c>
      <c r="D47" s="18">
        <v>1520</v>
      </c>
      <c r="E47" s="7">
        <f t="shared" si="9"/>
        <v>1974.8200000000002</v>
      </c>
      <c r="F47" s="7">
        <f t="shared" si="12"/>
        <v>1987.83</v>
      </c>
      <c r="G47" s="4"/>
      <c r="H47" s="4"/>
      <c r="I47" s="7">
        <f t="shared" si="4"/>
        <v>21.099999999999909</v>
      </c>
      <c r="J47" s="4">
        <f t="shared" si="0"/>
        <v>21.099999999999909</v>
      </c>
      <c r="K47" s="4" t="str">
        <f t="shared" si="1"/>
        <v xml:space="preserve"> </v>
      </c>
      <c r="L47" s="5">
        <f t="shared" si="10"/>
        <v>326.83</v>
      </c>
      <c r="M47" s="5">
        <f t="shared" si="13"/>
        <v>315.95999999999998</v>
      </c>
      <c r="N47" s="5"/>
      <c r="O47" s="5"/>
      <c r="P47" s="5">
        <f t="shared" si="5"/>
        <v>-1.6999999999999886</v>
      </c>
      <c r="Q47" s="5" t="str">
        <f t="shared" si="6"/>
        <v xml:space="preserve"> </v>
      </c>
      <c r="R47" s="5">
        <f t="shared" si="7"/>
        <v>-1.6999999999999886</v>
      </c>
      <c r="S47" s="8">
        <f t="shared" si="11"/>
        <v>1522</v>
      </c>
      <c r="T47" s="8">
        <f t="shared" si="14"/>
        <v>1489.7649999999999</v>
      </c>
      <c r="U47" s="6"/>
      <c r="V47" s="6"/>
      <c r="W47" s="8">
        <f t="shared" si="8"/>
        <v>-5.2000000000000455</v>
      </c>
      <c r="X47" s="6" t="str">
        <f t="shared" si="2"/>
        <v xml:space="preserve"> </v>
      </c>
      <c r="Y47" s="6">
        <f t="shared" si="3"/>
        <v>-5.2000000000000455</v>
      </c>
    </row>
    <row r="48" spans="1:25" x14ac:dyDescent="0.35">
      <c r="A48" s="13">
        <v>45883</v>
      </c>
      <c r="B48" s="15">
        <v>1920.6</v>
      </c>
      <c r="C48" s="11">
        <v>327.35000000000002</v>
      </c>
      <c r="D48" s="18">
        <v>1459</v>
      </c>
      <c r="E48" s="7">
        <f t="shared" si="9"/>
        <v>1965.42</v>
      </c>
      <c r="F48" s="7">
        <f t="shared" si="12"/>
        <v>1979.8199999999997</v>
      </c>
      <c r="G48" s="4"/>
      <c r="H48" s="4"/>
      <c r="I48" s="7">
        <f t="shared" si="4"/>
        <v>-74.400000000000091</v>
      </c>
      <c r="J48" s="4" t="str">
        <f t="shared" si="0"/>
        <v xml:space="preserve"> </v>
      </c>
      <c r="K48" s="4">
        <f t="shared" si="1"/>
        <v>-74.400000000000091</v>
      </c>
      <c r="L48" s="5">
        <f t="shared" si="10"/>
        <v>328.2</v>
      </c>
      <c r="M48" s="5">
        <f t="shared" si="13"/>
        <v>316.55250000000001</v>
      </c>
      <c r="N48" s="5"/>
      <c r="O48" s="5"/>
      <c r="P48" s="5">
        <f t="shared" si="5"/>
        <v>-2.3499999999999659</v>
      </c>
      <c r="Q48" s="5" t="str">
        <f t="shared" si="6"/>
        <v xml:space="preserve"> </v>
      </c>
      <c r="R48" s="5">
        <f t="shared" si="7"/>
        <v>-2.3499999999999659</v>
      </c>
      <c r="S48" s="8">
        <f t="shared" si="11"/>
        <v>1509.34</v>
      </c>
      <c r="T48" s="8">
        <f t="shared" si="14"/>
        <v>1486.74</v>
      </c>
      <c r="U48" s="6"/>
      <c r="V48" s="6"/>
      <c r="W48" s="8">
        <f t="shared" si="8"/>
        <v>-61</v>
      </c>
      <c r="X48" s="6" t="str">
        <f t="shared" si="2"/>
        <v xml:space="preserve"> </v>
      </c>
      <c r="Y48" s="6">
        <f t="shared" si="3"/>
        <v>-61</v>
      </c>
    </row>
    <row r="49" spans="1:25" x14ac:dyDescent="0.35">
      <c r="A49" s="13">
        <v>45882</v>
      </c>
      <c r="B49" s="15">
        <v>1917</v>
      </c>
      <c r="C49" s="11">
        <v>330.8</v>
      </c>
      <c r="D49" s="18">
        <v>1459.1</v>
      </c>
      <c r="E49" s="7">
        <f t="shared" si="9"/>
        <v>1953.1</v>
      </c>
      <c r="F49" s="7">
        <f t="shared" si="12"/>
        <v>1971.5099999999998</v>
      </c>
      <c r="G49" s="4"/>
      <c r="H49" s="4"/>
      <c r="I49" s="7">
        <f t="shared" si="4"/>
        <v>-3.5999999999999091</v>
      </c>
      <c r="J49" s="4" t="str">
        <f t="shared" si="0"/>
        <v xml:space="preserve"> </v>
      </c>
      <c r="K49" s="4">
        <f t="shared" si="1"/>
        <v>-3.5999999999999091</v>
      </c>
      <c r="L49" s="5">
        <f t="shared" si="10"/>
        <v>329.54999999999995</v>
      </c>
      <c r="M49" s="5">
        <f t="shared" si="13"/>
        <v>317.53250000000003</v>
      </c>
      <c r="N49" s="5"/>
      <c r="O49" s="5"/>
      <c r="P49" s="5">
        <f t="shared" si="5"/>
        <v>3.4499999999999886</v>
      </c>
      <c r="Q49" s="5">
        <f t="shared" si="6"/>
        <v>3.4499999999999886</v>
      </c>
      <c r="R49" s="5" t="str">
        <f t="shared" si="7"/>
        <v xml:space="preserve"> </v>
      </c>
      <c r="S49" s="8">
        <f t="shared" si="11"/>
        <v>1497.56</v>
      </c>
      <c r="T49" s="8">
        <f t="shared" si="14"/>
        <v>1484.145</v>
      </c>
      <c r="U49" s="6"/>
      <c r="V49" s="6"/>
      <c r="W49" s="8">
        <f t="shared" si="8"/>
        <v>9.9999999999909051E-2</v>
      </c>
      <c r="X49" s="6">
        <f t="shared" si="2"/>
        <v>9.9999999999909051E-2</v>
      </c>
      <c r="Y49" s="6" t="str">
        <f t="shared" si="3"/>
        <v xml:space="preserve"> </v>
      </c>
    </row>
    <row r="50" spans="1:25" x14ac:dyDescent="0.35">
      <c r="A50" s="13">
        <v>45881</v>
      </c>
      <c r="B50" s="15">
        <v>1905</v>
      </c>
      <c r="C50" s="11">
        <v>326.89999999999998</v>
      </c>
      <c r="D50" s="18">
        <v>1449</v>
      </c>
      <c r="E50" s="7">
        <f t="shared" si="9"/>
        <v>1942.3</v>
      </c>
      <c r="F50" s="7">
        <f t="shared" si="12"/>
        <v>1964.9099999999999</v>
      </c>
      <c r="G50" s="4"/>
      <c r="H50" s="4"/>
      <c r="I50" s="7">
        <f t="shared" si="4"/>
        <v>-12</v>
      </c>
      <c r="J50" s="4" t="str">
        <f t="shared" si="0"/>
        <v xml:space="preserve"> </v>
      </c>
      <c r="K50" s="4">
        <f t="shared" si="1"/>
        <v>-12</v>
      </c>
      <c r="L50" s="5">
        <f t="shared" si="10"/>
        <v>329.23</v>
      </c>
      <c r="M50" s="5">
        <f t="shared" si="13"/>
        <v>318.33249999999998</v>
      </c>
      <c r="N50" s="5"/>
      <c r="O50" s="5"/>
      <c r="P50" s="5">
        <f t="shared" si="5"/>
        <v>-3.9000000000000341</v>
      </c>
      <c r="Q50" s="5" t="str">
        <f t="shared" si="6"/>
        <v xml:space="preserve"> </v>
      </c>
      <c r="R50" s="5">
        <f t="shared" si="7"/>
        <v>-3.9000000000000341</v>
      </c>
      <c r="S50" s="8">
        <f t="shared" si="11"/>
        <v>1482.4599999999998</v>
      </c>
      <c r="T50" s="8">
        <f t="shared" si="14"/>
        <v>1481.895</v>
      </c>
      <c r="U50" s="6"/>
      <c r="V50" s="6"/>
      <c r="W50" s="8">
        <f t="shared" si="8"/>
        <v>-10.099999999999909</v>
      </c>
      <c r="X50" s="6" t="str">
        <f t="shared" si="2"/>
        <v xml:space="preserve"> </v>
      </c>
      <c r="Y50" s="6">
        <f t="shared" si="3"/>
        <v>-10.099999999999909</v>
      </c>
    </row>
    <row r="51" spans="1:25" x14ac:dyDescent="0.35">
      <c r="A51" s="13">
        <v>45880</v>
      </c>
      <c r="B51" s="15">
        <v>1929.3</v>
      </c>
      <c r="C51" s="11">
        <v>327.9</v>
      </c>
      <c r="D51" s="18">
        <v>1481</v>
      </c>
      <c r="E51" s="7">
        <f t="shared" si="9"/>
        <v>1933.3799999999999</v>
      </c>
      <c r="F51" s="7">
        <f t="shared" si="12"/>
        <v>1959.4749999999999</v>
      </c>
      <c r="G51" s="7">
        <f>AVERAGE(B2:B51)</f>
        <v>2017.0339999999999</v>
      </c>
      <c r="H51" s="4"/>
      <c r="I51" s="7">
        <f t="shared" si="4"/>
        <v>24.299999999999955</v>
      </c>
      <c r="J51" s="4">
        <f t="shared" si="0"/>
        <v>24.299999999999955</v>
      </c>
      <c r="K51" s="4" t="str">
        <f t="shared" si="1"/>
        <v xml:space="preserve"> </v>
      </c>
      <c r="L51" s="5">
        <f t="shared" si="10"/>
        <v>328.53000000000003</v>
      </c>
      <c r="M51" s="5">
        <f t="shared" si="13"/>
        <v>319.20999999999998</v>
      </c>
      <c r="N51" s="5">
        <f>AVERAGE(C2:C51)</f>
        <v>312.76900000000001</v>
      </c>
      <c r="O51" s="5"/>
      <c r="P51" s="5">
        <f t="shared" si="5"/>
        <v>1</v>
      </c>
      <c r="Q51" s="5">
        <f t="shared" si="6"/>
        <v>1</v>
      </c>
      <c r="R51" s="5" t="str">
        <f t="shared" si="7"/>
        <v xml:space="preserve"> </v>
      </c>
      <c r="S51" s="8">
        <f t="shared" si="11"/>
        <v>1473.6200000000001</v>
      </c>
      <c r="T51" s="8">
        <f t="shared" si="14"/>
        <v>1479.5250000000001</v>
      </c>
      <c r="U51" s="8">
        <f>AVERAGE(D2:D51)</f>
        <v>1557.4779999999998</v>
      </c>
      <c r="V51" s="6"/>
      <c r="W51" s="8">
        <f t="shared" si="8"/>
        <v>32</v>
      </c>
      <c r="X51" s="6">
        <f t="shared" si="2"/>
        <v>32</v>
      </c>
      <c r="Y51" s="6" t="str">
        <f t="shared" si="3"/>
        <v xml:space="preserve"> </v>
      </c>
    </row>
    <row r="52" spans="1:25" x14ac:dyDescent="0.35">
      <c r="A52" s="13">
        <v>45877</v>
      </c>
      <c r="B52" s="15">
        <v>1919</v>
      </c>
      <c r="C52" s="11">
        <v>321</v>
      </c>
      <c r="D52" s="18">
        <v>1451</v>
      </c>
      <c r="E52" s="7">
        <f t="shared" si="9"/>
        <v>1918.1800000000003</v>
      </c>
      <c r="F52" s="7">
        <f t="shared" si="12"/>
        <v>1954.095</v>
      </c>
      <c r="G52" s="7">
        <f t="shared" ref="G52:G115" si="15">AVERAGE(B3:B52)</f>
        <v>2011.894</v>
      </c>
      <c r="H52" s="4"/>
      <c r="I52" s="7">
        <f t="shared" si="4"/>
        <v>-10.299999999999955</v>
      </c>
      <c r="J52" s="4" t="str">
        <f t="shared" si="0"/>
        <v xml:space="preserve"> </v>
      </c>
      <c r="K52" s="4">
        <f t="shared" si="1"/>
        <v>-10.299999999999955</v>
      </c>
      <c r="L52" s="5">
        <f t="shared" si="10"/>
        <v>326.79000000000002</v>
      </c>
      <c r="M52" s="5">
        <f t="shared" si="13"/>
        <v>319.83000000000004</v>
      </c>
      <c r="N52" s="5">
        <f t="shared" ref="N52:N115" si="16">AVERAGE(C3:C52)</f>
        <v>313.01099999999997</v>
      </c>
      <c r="O52" s="5"/>
      <c r="P52" s="5">
        <f t="shared" si="5"/>
        <v>-6.8999999999999773</v>
      </c>
      <c r="Q52" s="5" t="str">
        <f t="shared" si="6"/>
        <v xml:space="preserve"> </v>
      </c>
      <c r="R52" s="5">
        <f t="shared" si="7"/>
        <v>-6.8999999999999773</v>
      </c>
      <c r="S52" s="8">
        <f t="shared" si="11"/>
        <v>1459.8200000000002</v>
      </c>
      <c r="T52" s="8">
        <f t="shared" si="14"/>
        <v>1476.7750000000001</v>
      </c>
      <c r="U52" s="8">
        <f t="shared" ref="U52:U115" si="17">AVERAGE(D3:D52)</f>
        <v>1552.8380000000002</v>
      </c>
      <c r="V52" s="6"/>
      <c r="W52" s="8">
        <f t="shared" si="8"/>
        <v>-30</v>
      </c>
      <c r="X52" s="6" t="str">
        <f t="shared" si="2"/>
        <v xml:space="preserve"> </v>
      </c>
      <c r="Y52" s="6">
        <f t="shared" si="3"/>
        <v>-30</v>
      </c>
    </row>
    <row r="53" spans="1:25" x14ac:dyDescent="0.35">
      <c r="A53" s="13">
        <v>45876</v>
      </c>
      <c r="B53" s="15">
        <v>1920.9</v>
      </c>
      <c r="C53" s="11">
        <v>327.39999999999998</v>
      </c>
      <c r="D53" s="18">
        <v>1488</v>
      </c>
      <c r="E53" s="7">
        <f t="shared" si="9"/>
        <v>1918.2400000000002</v>
      </c>
      <c r="F53" s="7">
        <f t="shared" si="12"/>
        <v>1949.64</v>
      </c>
      <c r="G53" s="7">
        <f t="shared" si="15"/>
        <v>2007.0119999999997</v>
      </c>
      <c r="H53" s="4"/>
      <c r="I53" s="7">
        <f t="shared" si="4"/>
        <v>1.9000000000000909</v>
      </c>
      <c r="J53" s="4">
        <f t="shared" si="0"/>
        <v>1.9000000000000909</v>
      </c>
      <c r="K53" s="4" t="str">
        <f t="shared" si="1"/>
        <v xml:space="preserve"> </v>
      </c>
      <c r="L53" s="5">
        <f t="shared" si="10"/>
        <v>326.8</v>
      </c>
      <c r="M53" s="5">
        <f t="shared" si="13"/>
        <v>320.65749999999991</v>
      </c>
      <c r="N53" s="5">
        <f t="shared" si="16"/>
        <v>313.33499999999998</v>
      </c>
      <c r="O53" s="5"/>
      <c r="P53" s="5">
        <f t="shared" si="5"/>
        <v>6.3999999999999773</v>
      </c>
      <c r="Q53" s="5">
        <f t="shared" si="6"/>
        <v>6.3999999999999773</v>
      </c>
      <c r="R53" s="5" t="str">
        <f t="shared" si="7"/>
        <v xml:space="preserve"> </v>
      </c>
      <c r="S53" s="8">
        <f t="shared" si="11"/>
        <v>1465.6200000000001</v>
      </c>
      <c r="T53" s="8">
        <f t="shared" si="14"/>
        <v>1476.62</v>
      </c>
      <c r="U53" s="8">
        <f t="shared" si="17"/>
        <v>1549.1580000000001</v>
      </c>
      <c r="V53" s="6"/>
      <c r="W53" s="8">
        <f t="shared" si="8"/>
        <v>37</v>
      </c>
      <c r="X53" s="6">
        <f t="shared" si="2"/>
        <v>37</v>
      </c>
      <c r="Y53" s="6" t="str">
        <f t="shared" si="3"/>
        <v xml:space="preserve"> </v>
      </c>
    </row>
    <row r="54" spans="1:25" x14ac:dyDescent="0.35">
      <c r="A54" s="13">
        <v>45875</v>
      </c>
      <c r="B54" s="15">
        <v>1926</v>
      </c>
      <c r="C54" s="11">
        <v>326</v>
      </c>
      <c r="D54" s="18">
        <v>1454.9</v>
      </c>
      <c r="E54" s="7">
        <f t="shared" si="9"/>
        <v>1920.0400000000002</v>
      </c>
      <c r="F54" s="7">
        <f t="shared" si="12"/>
        <v>1945.19</v>
      </c>
      <c r="G54" s="7">
        <f t="shared" si="15"/>
        <v>2002.6960000000001</v>
      </c>
      <c r="H54" s="4"/>
      <c r="I54" s="7">
        <f t="shared" si="4"/>
        <v>5.0999999999999091</v>
      </c>
      <c r="J54" s="4">
        <f t="shared" si="0"/>
        <v>5.0999999999999091</v>
      </c>
      <c r="K54" s="4" t="str">
        <f t="shared" si="1"/>
        <v xml:space="preserve"> </v>
      </c>
      <c r="L54" s="5">
        <f t="shared" si="10"/>
        <v>325.83999999999997</v>
      </c>
      <c r="M54" s="5">
        <f t="shared" si="13"/>
        <v>321.45750000000004</v>
      </c>
      <c r="N54" s="5">
        <f t="shared" si="16"/>
        <v>313.63499999999999</v>
      </c>
      <c r="O54" s="5"/>
      <c r="P54" s="5">
        <f t="shared" si="5"/>
        <v>-1.3999999999999773</v>
      </c>
      <c r="Q54" s="5" t="str">
        <f t="shared" si="6"/>
        <v xml:space="preserve"> </v>
      </c>
      <c r="R54" s="5">
        <f t="shared" si="7"/>
        <v>-1.3999999999999773</v>
      </c>
      <c r="S54" s="8">
        <f t="shared" si="11"/>
        <v>1464.78</v>
      </c>
      <c r="T54" s="8">
        <f t="shared" si="14"/>
        <v>1474.8150000000001</v>
      </c>
      <c r="U54" s="8">
        <f t="shared" si="17"/>
        <v>1544.7559999999999</v>
      </c>
      <c r="V54" s="6"/>
      <c r="W54" s="8">
        <f t="shared" si="8"/>
        <v>-33.099999999999909</v>
      </c>
      <c r="X54" s="6" t="str">
        <f t="shared" si="2"/>
        <v xml:space="preserve"> </v>
      </c>
      <c r="Y54" s="6">
        <f t="shared" si="3"/>
        <v>-33.099999999999909</v>
      </c>
    </row>
    <row r="55" spans="1:25" x14ac:dyDescent="0.35">
      <c r="A55" s="13">
        <v>45874</v>
      </c>
      <c r="B55" s="15">
        <v>1942</v>
      </c>
      <c r="C55" s="11">
        <v>332.6</v>
      </c>
      <c r="D55" s="18">
        <v>1470.8</v>
      </c>
      <c r="E55" s="7">
        <f t="shared" si="9"/>
        <v>1927.44</v>
      </c>
      <c r="F55" s="7">
        <f t="shared" si="12"/>
        <v>1942.1399999999999</v>
      </c>
      <c r="G55" s="7">
        <f t="shared" si="15"/>
        <v>1999.914</v>
      </c>
      <c r="H55" s="4"/>
      <c r="I55" s="7">
        <f t="shared" si="4"/>
        <v>16</v>
      </c>
      <c r="J55" s="4">
        <f t="shared" si="0"/>
        <v>16</v>
      </c>
      <c r="K55" s="4" t="str">
        <f t="shared" si="1"/>
        <v xml:space="preserve"> </v>
      </c>
      <c r="L55" s="5">
        <f t="shared" si="10"/>
        <v>326.98</v>
      </c>
      <c r="M55" s="5">
        <f t="shared" si="13"/>
        <v>322.59749999999997</v>
      </c>
      <c r="N55" s="5">
        <f t="shared" si="16"/>
        <v>314.10099999999994</v>
      </c>
      <c r="O55" s="5"/>
      <c r="P55" s="5">
        <f t="shared" si="5"/>
        <v>6.6000000000000227</v>
      </c>
      <c r="Q55" s="5">
        <f t="shared" si="6"/>
        <v>6.6000000000000227</v>
      </c>
      <c r="R55" s="5" t="str">
        <f t="shared" si="7"/>
        <v xml:space="preserve"> </v>
      </c>
      <c r="S55" s="8">
        <f t="shared" si="11"/>
        <v>1469.1399999999999</v>
      </c>
      <c r="T55" s="8">
        <f t="shared" si="14"/>
        <v>1475.2050000000002</v>
      </c>
      <c r="U55" s="8">
        <f t="shared" si="17"/>
        <v>1541.0719999999999</v>
      </c>
      <c r="V55" s="6"/>
      <c r="W55" s="8">
        <f t="shared" si="8"/>
        <v>15.899999999999864</v>
      </c>
      <c r="X55" s="6">
        <f t="shared" si="2"/>
        <v>15.899999999999864</v>
      </c>
      <c r="Y55" s="6" t="str">
        <f t="shared" si="3"/>
        <v xml:space="preserve"> </v>
      </c>
    </row>
    <row r="56" spans="1:25" x14ac:dyDescent="0.35">
      <c r="A56" s="13">
        <v>45873</v>
      </c>
      <c r="B56" s="15">
        <v>1932</v>
      </c>
      <c r="C56" s="11">
        <v>334.85</v>
      </c>
      <c r="D56" s="18">
        <v>1471</v>
      </c>
      <c r="E56" s="7">
        <f t="shared" si="9"/>
        <v>1927.98</v>
      </c>
      <c r="F56" s="7">
        <f t="shared" si="12"/>
        <v>1940.1899999999998</v>
      </c>
      <c r="G56" s="7">
        <f t="shared" si="15"/>
        <v>1996.796</v>
      </c>
      <c r="H56" s="4"/>
      <c r="I56" s="7">
        <f t="shared" si="4"/>
        <v>-10</v>
      </c>
      <c r="J56" s="4" t="str">
        <f t="shared" si="0"/>
        <v xml:space="preserve"> </v>
      </c>
      <c r="K56" s="4">
        <f t="shared" si="1"/>
        <v>-10</v>
      </c>
      <c r="L56" s="5">
        <f t="shared" si="10"/>
        <v>328.37</v>
      </c>
      <c r="M56" s="5">
        <f t="shared" si="13"/>
        <v>323.64499999999998</v>
      </c>
      <c r="N56" s="5">
        <f t="shared" si="16"/>
        <v>314.55599999999993</v>
      </c>
      <c r="O56" s="5"/>
      <c r="P56" s="5">
        <f t="shared" si="5"/>
        <v>2.25</v>
      </c>
      <c r="Q56" s="5">
        <f t="shared" si="6"/>
        <v>2.25</v>
      </c>
      <c r="R56" s="5" t="str">
        <f t="shared" si="7"/>
        <v xml:space="preserve"> </v>
      </c>
      <c r="S56" s="8">
        <f t="shared" si="11"/>
        <v>1467.1399999999999</v>
      </c>
      <c r="T56" s="8">
        <f t="shared" si="14"/>
        <v>1476.5549999999998</v>
      </c>
      <c r="U56" s="8">
        <f t="shared" si="17"/>
        <v>1537.1979999999999</v>
      </c>
      <c r="V56" s="6"/>
      <c r="W56" s="8">
        <f t="shared" si="8"/>
        <v>0.20000000000004547</v>
      </c>
      <c r="X56" s="6">
        <f t="shared" si="2"/>
        <v>0.20000000000004547</v>
      </c>
      <c r="Y56" s="6" t="str">
        <f t="shared" si="3"/>
        <v xml:space="preserve"> </v>
      </c>
    </row>
    <row r="57" spans="1:25" x14ac:dyDescent="0.35">
      <c r="A57" s="13">
        <v>45870</v>
      </c>
      <c r="B57" s="15">
        <v>1920</v>
      </c>
      <c r="C57" s="11">
        <v>329.85</v>
      </c>
      <c r="D57" s="18">
        <v>1420.5</v>
      </c>
      <c r="E57" s="7">
        <f t="shared" si="9"/>
        <v>1928.1799999999998</v>
      </c>
      <c r="F57" s="7">
        <f t="shared" si="12"/>
        <v>1938.3400000000001</v>
      </c>
      <c r="G57" s="7">
        <f t="shared" si="15"/>
        <v>1993.5380000000002</v>
      </c>
      <c r="H57" s="4"/>
      <c r="I57" s="7">
        <f t="shared" si="4"/>
        <v>-12</v>
      </c>
      <c r="J57" s="4" t="str">
        <f t="shared" si="0"/>
        <v xml:space="preserve"> </v>
      </c>
      <c r="K57" s="4">
        <f t="shared" si="1"/>
        <v>-12</v>
      </c>
      <c r="L57" s="5">
        <f t="shared" si="10"/>
        <v>330.14</v>
      </c>
      <c r="M57" s="5">
        <f t="shared" si="13"/>
        <v>324.55250000000001</v>
      </c>
      <c r="N57" s="5">
        <f t="shared" si="16"/>
        <v>314.89699999999999</v>
      </c>
      <c r="O57" s="5"/>
      <c r="P57" s="5">
        <f t="shared" si="5"/>
        <v>-5</v>
      </c>
      <c r="Q57" s="5" t="str">
        <f t="shared" si="6"/>
        <v xml:space="preserve"> </v>
      </c>
      <c r="R57" s="5">
        <f t="shared" si="7"/>
        <v>-5</v>
      </c>
      <c r="S57" s="8">
        <f t="shared" si="11"/>
        <v>1461.04</v>
      </c>
      <c r="T57" s="8">
        <f t="shared" si="14"/>
        <v>1475.9299999999998</v>
      </c>
      <c r="U57" s="8">
        <f t="shared" si="17"/>
        <v>1531.5079999999998</v>
      </c>
      <c r="V57" s="6"/>
      <c r="W57" s="8">
        <f t="shared" si="8"/>
        <v>-50.5</v>
      </c>
      <c r="X57" s="6" t="str">
        <f t="shared" si="2"/>
        <v xml:space="preserve"> </v>
      </c>
      <c r="Y57" s="6">
        <f t="shared" si="3"/>
        <v>-50.5</v>
      </c>
    </row>
    <row r="58" spans="1:25" x14ac:dyDescent="0.35">
      <c r="A58" s="13">
        <v>45869</v>
      </c>
      <c r="B58" s="15">
        <v>1952</v>
      </c>
      <c r="C58" s="11">
        <v>329</v>
      </c>
      <c r="D58" s="18">
        <v>1435.6</v>
      </c>
      <c r="E58" s="7">
        <f t="shared" si="9"/>
        <v>1934.4</v>
      </c>
      <c r="F58" s="7">
        <f t="shared" si="12"/>
        <v>1938.7949999999996</v>
      </c>
      <c r="G58" s="7">
        <f t="shared" si="15"/>
        <v>1992.1800000000003</v>
      </c>
      <c r="H58" s="4"/>
      <c r="I58" s="7">
        <f t="shared" si="4"/>
        <v>32</v>
      </c>
      <c r="J58" s="4">
        <f t="shared" si="0"/>
        <v>32</v>
      </c>
      <c r="K58" s="4" t="str">
        <f t="shared" si="1"/>
        <v xml:space="preserve"> </v>
      </c>
      <c r="L58" s="5">
        <f t="shared" si="10"/>
        <v>330.46000000000004</v>
      </c>
      <c r="M58" s="5">
        <f t="shared" si="13"/>
        <v>325.28250000000003</v>
      </c>
      <c r="N58" s="5">
        <f t="shared" si="16"/>
        <v>315.36699999999996</v>
      </c>
      <c r="O58" s="5"/>
      <c r="P58" s="5">
        <f t="shared" si="5"/>
        <v>-0.85000000000002274</v>
      </c>
      <c r="Q58" s="5" t="str">
        <f t="shared" si="6"/>
        <v xml:space="preserve"> </v>
      </c>
      <c r="R58" s="5">
        <f t="shared" si="7"/>
        <v>-0.85000000000002274</v>
      </c>
      <c r="S58" s="8">
        <f t="shared" si="11"/>
        <v>1450.56</v>
      </c>
      <c r="T58" s="8">
        <f t="shared" si="14"/>
        <v>1475.1949999999999</v>
      </c>
      <c r="U58" s="8">
        <f t="shared" si="17"/>
        <v>1527.2179999999998</v>
      </c>
      <c r="V58" s="6"/>
      <c r="W58" s="8">
        <f t="shared" si="8"/>
        <v>15.099999999999909</v>
      </c>
      <c r="X58" s="6">
        <f t="shared" si="2"/>
        <v>15.099999999999909</v>
      </c>
      <c r="Y58" s="6" t="str">
        <f t="shared" si="3"/>
        <v xml:space="preserve"> </v>
      </c>
    </row>
    <row r="59" spans="1:25" x14ac:dyDescent="0.35">
      <c r="A59" s="13">
        <v>45868</v>
      </c>
      <c r="B59" s="15">
        <v>1960</v>
      </c>
      <c r="C59" s="11">
        <v>320</v>
      </c>
      <c r="D59" s="18">
        <v>1480</v>
      </c>
      <c r="E59" s="7">
        <f t="shared" si="9"/>
        <v>1941.2</v>
      </c>
      <c r="F59" s="7">
        <f t="shared" si="12"/>
        <v>1940.9950000000001</v>
      </c>
      <c r="G59" s="7">
        <f t="shared" si="15"/>
        <v>1990.902</v>
      </c>
      <c r="H59" s="4"/>
      <c r="I59" s="7">
        <f t="shared" si="4"/>
        <v>8</v>
      </c>
      <c r="J59" s="4">
        <f t="shared" si="0"/>
        <v>8</v>
      </c>
      <c r="K59" s="4" t="str">
        <f t="shared" si="1"/>
        <v xml:space="preserve"> </v>
      </c>
      <c r="L59" s="5">
        <f t="shared" si="10"/>
        <v>329.26000000000005</v>
      </c>
      <c r="M59" s="5">
        <f t="shared" si="13"/>
        <v>325.71750000000003</v>
      </c>
      <c r="N59" s="5">
        <f t="shared" si="16"/>
        <v>315.59399999999999</v>
      </c>
      <c r="O59" s="5"/>
      <c r="P59" s="5">
        <f t="shared" si="5"/>
        <v>-9</v>
      </c>
      <c r="Q59" s="5" t="str">
        <f t="shared" si="6"/>
        <v xml:space="preserve"> </v>
      </c>
      <c r="R59" s="5">
        <f t="shared" si="7"/>
        <v>-9</v>
      </c>
      <c r="S59" s="8">
        <f t="shared" si="11"/>
        <v>1455.58</v>
      </c>
      <c r="T59" s="8">
        <f t="shared" si="14"/>
        <v>1478.01</v>
      </c>
      <c r="U59" s="8">
        <f t="shared" si="17"/>
        <v>1523.944</v>
      </c>
      <c r="V59" s="6"/>
      <c r="W59" s="8">
        <f t="shared" si="8"/>
        <v>44.400000000000091</v>
      </c>
      <c r="X59" s="6">
        <f t="shared" si="2"/>
        <v>44.400000000000091</v>
      </c>
      <c r="Y59" s="6" t="str">
        <f t="shared" si="3"/>
        <v xml:space="preserve"> </v>
      </c>
    </row>
    <row r="60" spans="1:25" x14ac:dyDescent="0.35">
      <c r="A60" s="13">
        <v>45867</v>
      </c>
      <c r="B60" s="15">
        <v>1973.5</v>
      </c>
      <c r="C60" s="11">
        <v>322</v>
      </c>
      <c r="D60" s="18">
        <v>1484.7</v>
      </c>
      <c r="E60" s="7">
        <f t="shared" si="9"/>
        <v>1947.5</v>
      </c>
      <c r="F60" s="7">
        <f t="shared" si="12"/>
        <v>1943.8200000000002</v>
      </c>
      <c r="G60" s="7">
        <f t="shared" si="15"/>
        <v>1990.2020000000002</v>
      </c>
      <c r="H60" s="4"/>
      <c r="I60" s="7">
        <f t="shared" si="4"/>
        <v>13.5</v>
      </c>
      <c r="J60" s="4">
        <f t="shared" si="0"/>
        <v>13.5</v>
      </c>
      <c r="K60" s="4" t="str">
        <f t="shared" si="1"/>
        <v xml:space="preserve"> </v>
      </c>
      <c r="L60" s="5">
        <f t="shared" si="10"/>
        <v>327.14</v>
      </c>
      <c r="M60" s="5">
        <f t="shared" si="13"/>
        <v>326.25500000000005</v>
      </c>
      <c r="N60" s="5">
        <f t="shared" si="16"/>
        <v>315.86999999999995</v>
      </c>
      <c r="O60" s="5"/>
      <c r="P60" s="5">
        <f t="shared" si="5"/>
        <v>2</v>
      </c>
      <c r="Q60" s="5">
        <f t="shared" si="6"/>
        <v>2</v>
      </c>
      <c r="R60" s="5" t="str">
        <f t="shared" si="7"/>
        <v xml:space="preserve"> </v>
      </c>
      <c r="S60" s="8">
        <f t="shared" si="11"/>
        <v>1458.3600000000001</v>
      </c>
      <c r="T60" s="8">
        <f t="shared" si="14"/>
        <v>1480.145</v>
      </c>
      <c r="U60" s="8">
        <f t="shared" si="17"/>
        <v>1521.3259999999998</v>
      </c>
      <c r="V60" s="6"/>
      <c r="W60" s="8">
        <f t="shared" si="8"/>
        <v>4.7000000000000455</v>
      </c>
      <c r="X60" s="6">
        <f t="shared" si="2"/>
        <v>4.7000000000000455</v>
      </c>
      <c r="Y60" s="6" t="str">
        <f t="shared" si="3"/>
        <v xml:space="preserve"> </v>
      </c>
    </row>
    <row r="61" spans="1:25" x14ac:dyDescent="0.35">
      <c r="A61" s="13">
        <v>45866</v>
      </c>
      <c r="B61" s="15">
        <v>1975.9</v>
      </c>
      <c r="C61" s="11">
        <v>307.5</v>
      </c>
      <c r="D61" s="18">
        <v>1490.7</v>
      </c>
      <c r="E61" s="7">
        <f t="shared" si="9"/>
        <v>1956.28</v>
      </c>
      <c r="F61" s="7">
        <f t="shared" si="12"/>
        <v>1946.5650000000001</v>
      </c>
      <c r="G61" s="7">
        <f t="shared" si="15"/>
        <v>1989.4799999999998</v>
      </c>
      <c r="H61" s="4"/>
      <c r="I61" s="7">
        <f t="shared" si="4"/>
        <v>2.4000000000000909</v>
      </c>
      <c r="J61" s="4">
        <f t="shared" si="0"/>
        <v>2.4000000000000909</v>
      </c>
      <c r="K61" s="4" t="str">
        <f t="shared" si="1"/>
        <v xml:space="preserve"> </v>
      </c>
      <c r="L61" s="5">
        <f t="shared" si="10"/>
        <v>321.66999999999996</v>
      </c>
      <c r="M61" s="5">
        <f t="shared" si="13"/>
        <v>325.84250000000009</v>
      </c>
      <c r="N61" s="5">
        <f t="shared" si="16"/>
        <v>315.87699999999995</v>
      </c>
      <c r="O61" s="5"/>
      <c r="P61" s="5">
        <f t="shared" si="5"/>
        <v>-14.5</v>
      </c>
      <c r="Q61" s="5" t="str">
        <f t="shared" si="6"/>
        <v xml:space="preserve"> </v>
      </c>
      <c r="R61" s="5">
        <f t="shared" si="7"/>
        <v>-14.5</v>
      </c>
      <c r="S61" s="8">
        <f t="shared" si="11"/>
        <v>1462.3</v>
      </c>
      <c r="T61" s="8">
        <f t="shared" si="14"/>
        <v>1480.7949999999998</v>
      </c>
      <c r="U61" s="8">
        <f t="shared" si="17"/>
        <v>1518.7360000000001</v>
      </c>
      <c r="V61" s="6"/>
      <c r="W61" s="8">
        <f t="shared" si="8"/>
        <v>6</v>
      </c>
      <c r="X61" s="6">
        <f t="shared" si="2"/>
        <v>6</v>
      </c>
      <c r="Y61" s="6" t="str">
        <f t="shared" si="3"/>
        <v xml:space="preserve"> </v>
      </c>
    </row>
    <row r="62" spans="1:25" x14ac:dyDescent="0.35">
      <c r="A62" s="13">
        <v>45863</v>
      </c>
      <c r="B62" s="15">
        <v>1985.4</v>
      </c>
      <c r="C62" s="11">
        <v>311.10000000000002</v>
      </c>
      <c r="D62" s="18">
        <v>1503.9</v>
      </c>
      <c r="E62" s="7">
        <f t="shared" si="9"/>
        <v>1969.36</v>
      </c>
      <c r="F62" s="7">
        <f t="shared" si="12"/>
        <v>1947.6350000000002</v>
      </c>
      <c r="G62" s="7">
        <f t="shared" si="15"/>
        <v>1988.9839999999995</v>
      </c>
      <c r="H62" s="4"/>
      <c r="I62" s="7">
        <f t="shared" si="4"/>
        <v>9.5</v>
      </c>
      <c r="J62" s="4">
        <f t="shared" si="0"/>
        <v>9.5</v>
      </c>
      <c r="K62" s="4" t="str">
        <f t="shared" si="1"/>
        <v xml:space="preserve"> </v>
      </c>
      <c r="L62" s="5">
        <f t="shared" si="10"/>
        <v>317.91999999999996</v>
      </c>
      <c r="M62" s="5">
        <f t="shared" si="13"/>
        <v>325.42000000000007</v>
      </c>
      <c r="N62" s="5">
        <f t="shared" si="16"/>
        <v>316.00499999999994</v>
      </c>
      <c r="O62" s="5"/>
      <c r="P62" s="5">
        <f t="shared" si="5"/>
        <v>3.6000000000000227</v>
      </c>
      <c r="Q62" s="5">
        <f t="shared" si="6"/>
        <v>3.6000000000000227</v>
      </c>
      <c r="R62" s="5" t="str">
        <f t="shared" si="7"/>
        <v xml:space="preserve"> </v>
      </c>
      <c r="S62" s="8">
        <f t="shared" si="11"/>
        <v>1478.98</v>
      </c>
      <c r="T62" s="8">
        <f t="shared" si="14"/>
        <v>1480.46</v>
      </c>
      <c r="U62" s="8">
        <f t="shared" si="17"/>
        <v>1516.6079999999999</v>
      </c>
      <c r="V62" s="6"/>
      <c r="W62" s="8">
        <f t="shared" si="8"/>
        <v>13.200000000000045</v>
      </c>
      <c r="X62" s="6">
        <f t="shared" si="2"/>
        <v>13.200000000000045</v>
      </c>
      <c r="Y62" s="6" t="str">
        <f t="shared" si="3"/>
        <v xml:space="preserve"> </v>
      </c>
    </row>
    <row r="63" spans="1:25" x14ac:dyDescent="0.35">
      <c r="A63" s="13">
        <v>45862</v>
      </c>
      <c r="B63" s="15">
        <v>2030</v>
      </c>
      <c r="C63" s="11">
        <v>316.5</v>
      </c>
      <c r="D63" s="18">
        <v>1552</v>
      </c>
      <c r="E63" s="7">
        <f t="shared" si="9"/>
        <v>1984.9599999999998</v>
      </c>
      <c r="F63" s="7">
        <f t="shared" si="12"/>
        <v>1950.7550000000003</v>
      </c>
      <c r="G63" s="7">
        <f t="shared" si="15"/>
        <v>1988.9839999999997</v>
      </c>
      <c r="H63" s="4"/>
      <c r="I63" s="7">
        <f t="shared" si="4"/>
        <v>44.599999999999909</v>
      </c>
      <c r="J63" s="4">
        <f t="shared" si="0"/>
        <v>44.599999999999909</v>
      </c>
      <c r="K63" s="4" t="str">
        <f t="shared" si="1"/>
        <v xml:space="preserve"> </v>
      </c>
      <c r="L63" s="5">
        <f t="shared" si="10"/>
        <v>315.41999999999996</v>
      </c>
      <c r="M63" s="5">
        <f t="shared" si="13"/>
        <v>325.22000000000003</v>
      </c>
      <c r="N63" s="5">
        <f t="shared" si="16"/>
        <v>316.12299999999999</v>
      </c>
      <c r="O63" s="5"/>
      <c r="P63" s="5">
        <f t="shared" si="5"/>
        <v>5.3999999999999773</v>
      </c>
      <c r="Q63" s="5">
        <f t="shared" si="6"/>
        <v>5.3999999999999773</v>
      </c>
      <c r="R63" s="5" t="str">
        <f t="shared" si="7"/>
        <v xml:space="preserve"> </v>
      </c>
      <c r="S63" s="8">
        <f t="shared" si="11"/>
        <v>1502.2599999999998</v>
      </c>
      <c r="T63" s="8">
        <f t="shared" si="14"/>
        <v>1481.9450000000002</v>
      </c>
      <c r="U63" s="8">
        <f t="shared" si="17"/>
        <v>1515.1139999999996</v>
      </c>
      <c r="V63" s="6"/>
      <c r="W63" s="8">
        <f t="shared" si="8"/>
        <v>48.099999999999909</v>
      </c>
      <c r="X63" s="6">
        <f t="shared" si="2"/>
        <v>48.099999999999909</v>
      </c>
      <c r="Y63" s="6" t="str">
        <f t="shared" si="3"/>
        <v xml:space="preserve"> </v>
      </c>
    </row>
    <row r="64" spans="1:25" x14ac:dyDescent="0.35">
      <c r="A64" s="13">
        <v>45861</v>
      </c>
      <c r="B64" s="15">
        <v>2061</v>
      </c>
      <c r="C64" s="11">
        <v>315</v>
      </c>
      <c r="D64" s="18">
        <v>1557.4</v>
      </c>
      <c r="E64" s="7">
        <f t="shared" si="9"/>
        <v>2005.1599999999999</v>
      </c>
      <c r="F64" s="7">
        <f t="shared" si="12"/>
        <v>1954.875</v>
      </c>
      <c r="G64" s="7">
        <f t="shared" si="15"/>
        <v>1989.5819999999999</v>
      </c>
      <c r="H64" s="4"/>
      <c r="I64" s="7">
        <f t="shared" si="4"/>
        <v>31</v>
      </c>
      <c r="J64" s="4">
        <f t="shared" si="0"/>
        <v>31</v>
      </c>
      <c r="K64" s="4" t="str">
        <f t="shared" si="1"/>
        <v xml:space="preserve"> </v>
      </c>
      <c r="L64" s="5">
        <f t="shared" si="10"/>
        <v>314.41999999999996</v>
      </c>
      <c r="M64" s="5">
        <f t="shared" si="13"/>
        <v>324.76750000000004</v>
      </c>
      <c r="N64" s="5">
        <f t="shared" si="16"/>
        <v>316.30099999999999</v>
      </c>
      <c r="O64" s="5"/>
      <c r="P64" s="5">
        <f t="shared" si="5"/>
        <v>-1.5</v>
      </c>
      <c r="Q64" s="5" t="str">
        <f t="shared" si="6"/>
        <v xml:space="preserve"> </v>
      </c>
      <c r="R64" s="5">
        <f t="shared" si="7"/>
        <v>-1.5</v>
      </c>
      <c r="S64" s="8">
        <f t="shared" si="11"/>
        <v>1517.7400000000002</v>
      </c>
      <c r="T64" s="8">
        <f t="shared" si="14"/>
        <v>1483.9150000000002</v>
      </c>
      <c r="U64" s="8">
        <f t="shared" si="17"/>
        <v>1513.3259999999998</v>
      </c>
      <c r="V64" s="6"/>
      <c r="W64" s="8">
        <f t="shared" si="8"/>
        <v>5.4000000000000909</v>
      </c>
      <c r="X64" s="6">
        <f t="shared" si="2"/>
        <v>5.4000000000000909</v>
      </c>
      <c r="Y64" s="6" t="str">
        <f t="shared" si="3"/>
        <v xml:space="preserve"> </v>
      </c>
    </row>
    <row r="65" spans="1:25" x14ac:dyDescent="0.35">
      <c r="A65" s="13">
        <v>45860</v>
      </c>
      <c r="B65" s="15">
        <v>2038</v>
      </c>
      <c r="C65" s="11">
        <v>311</v>
      </c>
      <c r="D65" s="18">
        <v>1564.3</v>
      </c>
      <c r="E65" s="7">
        <f t="shared" si="9"/>
        <v>2018.06</v>
      </c>
      <c r="F65" s="7">
        <f t="shared" si="12"/>
        <v>1958.825</v>
      </c>
      <c r="G65" s="7">
        <f t="shared" si="15"/>
        <v>1990.4579999999996</v>
      </c>
      <c r="H65" s="4"/>
      <c r="I65" s="7">
        <f t="shared" si="4"/>
        <v>-23</v>
      </c>
      <c r="J65" s="4" t="str">
        <f t="shared" si="0"/>
        <v xml:space="preserve"> </v>
      </c>
      <c r="K65" s="4">
        <f t="shared" si="1"/>
        <v>-23</v>
      </c>
      <c r="L65" s="5">
        <f t="shared" si="10"/>
        <v>312.21999999999997</v>
      </c>
      <c r="M65" s="5">
        <f t="shared" si="13"/>
        <v>323.89250000000004</v>
      </c>
      <c r="N65" s="5">
        <f t="shared" si="16"/>
        <v>316.46899999999999</v>
      </c>
      <c r="O65" s="5"/>
      <c r="P65" s="5">
        <f t="shared" si="5"/>
        <v>-4</v>
      </c>
      <c r="Q65" s="5" t="str">
        <f t="shared" si="6"/>
        <v xml:space="preserve"> </v>
      </c>
      <c r="R65" s="5">
        <f t="shared" si="7"/>
        <v>-4</v>
      </c>
      <c r="S65" s="8">
        <f t="shared" si="11"/>
        <v>1533.66</v>
      </c>
      <c r="T65" s="8">
        <f t="shared" si="14"/>
        <v>1485.9050000000002</v>
      </c>
      <c r="U65" s="8">
        <f t="shared" si="17"/>
        <v>1513.1719999999998</v>
      </c>
      <c r="V65" s="6"/>
      <c r="W65" s="8">
        <f t="shared" si="8"/>
        <v>6.8999999999998636</v>
      </c>
      <c r="X65" s="6">
        <f t="shared" si="2"/>
        <v>6.8999999999998636</v>
      </c>
      <c r="Y65" s="6" t="str">
        <f t="shared" si="3"/>
        <v xml:space="preserve"> </v>
      </c>
    </row>
    <row r="66" spans="1:25" x14ac:dyDescent="0.35">
      <c r="A66" s="13">
        <v>45859</v>
      </c>
      <c r="B66" s="15">
        <v>2053</v>
      </c>
      <c r="C66" s="11">
        <v>317.89999999999998</v>
      </c>
      <c r="D66" s="18">
        <v>1570.9</v>
      </c>
      <c r="E66" s="7">
        <f t="shared" si="9"/>
        <v>2033.48</v>
      </c>
      <c r="F66" s="7">
        <f t="shared" si="12"/>
        <v>1962.7800000000002</v>
      </c>
      <c r="G66" s="7">
        <f t="shared" si="15"/>
        <v>1991.3179999999995</v>
      </c>
      <c r="H66" s="4"/>
      <c r="I66" s="7">
        <f t="shared" si="4"/>
        <v>15</v>
      </c>
      <c r="J66" s="4">
        <f t="shared" si="0"/>
        <v>15</v>
      </c>
      <c r="K66" s="4" t="str">
        <f t="shared" si="1"/>
        <v xml:space="preserve"> </v>
      </c>
      <c r="L66" s="5">
        <f t="shared" si="10"/>
        <v>314.3</v>
      </c>
      <c r="M66" s="5">
        <f t="shared" si="13"/>
        <v>323.21750000000003</v>
      </c>
      <c r="N66" s="5">
        <f t="shared" si="16"/>
        <v>316.81099999999998</v>
      </c>
      <c r="O66" s="5"/>
      <c r="P66" s="5">
        <f t="shared" si="5"/>
        <v>6.8999999999999773</v>
      </c>
      <c r="Q66" s="5">
        <f t="shared" si="6"/>
        <v>6.8999999999999773</v>
      </c>
      <c r="R66" s="5" t="str">
        <f t="shared" si="7"/>
        <v xml:space="preserve"> </v>
      </c>
      <c r="S66" s="8">
        <f t="shared" si="11"/>
        <v>1549.7</v>
      </c>
      <c r="T66" s="8">
        <f t="shared" si="14"/>
        <v>1488.19</v>
      </c>
      <c r="U66" s="8">
        <f t="shared" si="17"/>
        <v>1512.5299999999997</v>
      </c>
      <c r="V66" s="6"/>
      <c r="W66" s="8">
        <f t="shared" si="8"/>
        <v>6.6000000000001364</v>
      </c>
      <c r="X66" s="6">
        <f t="shared" si="2"/>
        <v>6.6000000000001364</v>
      </c>
      <c r="Y66" s="6" t="str">
        <f t="shared" si="3"/>
        <v xml:space="preserve"> </v>
      </c>
    </row>
    <row r="67" spans="1:25" x14ac:dyDescent="0.35">
      <c r="A67" s="13">
        <v>45856</v>
      </c>
      <c r="B67" s="15">
        <v>2027.1</v>
      </c>
      <c r="C67" s="11">
        <v>316.39999999999998</v>
      </c>
      <c r="D67" s="18">
        <v>1550.3</v>
      </c>
      <c r="E67" s="7">
        <f t="shared" si="9"/>
        <v>2041.8200000000002</v>
      </c>
      <c r="F67" s="7">
        <f t="shared" si="12"/>
        <v>1964.3850000000002</v>
      </c>
      <c r="G67" s="7">
        <f t="shared" si="15"/>
        <v>1991.8399999999997</v>
      </c>
      <c r="H67" s="4"/>
      <c r="I67" s="7">
        <f t="shared" si="4"/>
        <v>-25.900000000000091</v>
      </c>
      <c r="J67" s="4" t="str">
        <f t="shared" ref="J67:J130" si="18">IF(I67&gt;0,I67," ")</f>
        <v xml:space="preserve"> </v>
      </c>
      <c r="K67" s="4">
        <f t="shared" ref="K67:K130" si="19">IF(I67&lt;0,I67," ")</f>
        <v>-25.900000000000091</v>
      </c>
      <c r="L67" s="5">
        <f t="shared" si="10"/>
        <v>315.36</v>
      </c>
      <c r="M67" s="5">
        <f t="shared" si="13"/>
        <v>322.55249999999995</v>
      </c>
      <c r="N67" s="5">
        <f t="shared" si="16"/>
        <v>317.25900000000001</v>
      </c>
      <c r="O67" s="5"/>
      <c r="P67" s="5">
        <f t="shared" si="5"/>
        <v>-1.5</v>
      </c>
      <c r="Q67" s="5" t="str">
        <f t="shared" si="6"/>
        <v xml:space="preserve"> </v>
      </c>
      <c r="R67" s="5">
        <f t="shared" si="7"/>
        <v>-1.5</v>
      </c>
      <c r="S67" s="8">
        <f t="shared" si="11"/>
        <v>1558.98</v>
      </c>
      <c r="T67" s="8">
        <f t="shared" si="14"/>
        <v>1489.7050000000004</v>
      </c>
      <c r="U67" s="8">
        <f t="shared" si="17"/>
        <v>1511.3199999999997</v>
      </c>
      <c r="V67" s="6"/>
      <c r="W67" s="8">
        <f t="shared" si="8"/>
        <v>-20.600000000000136</v>
      </c>
      <c r="X67" s="6" t="str">
        <f t="shared" ref="X67:X130" si="20">IF(W67&gt;0,W67," ")</f>
        <v xml:space="preserve"> </v>
      </c>
      <c r="Y67" s="6">
        <f t="shared" ref="Y67:Y130" si="21">IF(W67&lt;0,W67," ")</f>
        <v>-20.600000000000136</v>
      </c>
    </row>
    <row r="68" spans="1:25" x14ac:dyDescent="0.35">
      <c r="A68" s="13">
        <v>45855</v>
      </c>
      <c r="B68" s="15">
        <v>2023.6</v>
      </c>
      <c r="C68" s="11">
        <v>319</v>
      </c>
      <c r="D68" s="18">
        <v>1563</v>
      </c>
      <c r="E68" s="7">
        <f t="shared" si="9"/>
        <v>2040.5400000000002</v>
      </c>
      <c r="F68" s="7">
        <f t="shared" si="12"/>
        <v>1969.5349999999999</v>
      </c>
      <c r="G68" s="7">
        <f t="shared" si="15"/>
        <v>1992.0719999999999</v>
      </c>
      <c r="H68" s="4"/>
      <c r="I68" s="7">
        <f t="shared" ref="I68:I131" si="22">B68-B67</f>
        <v>-3.5</v>
      </c>
      <c r="J68" s="4" t="str">
        <f t="shared" si="18"/>
        <v xml:space="preserve"> </v>
      </c>
      <c r="K68" s="4">
        <f t="shared" si="19"/>
        <v>-3.5</v>
      </c>
      <c r="L68" s="5">
        <f t="shared" si="10"/>
        <v>315.86</v>
      </c>
      <c r="M68" s="5">
        <f t="shared" si="13"/>
        <v>322.13499999999993</v>
      </c>
      <c r="N68" s="5">
        <f t="shared" si="16"/>
        <v>317.73500000000001</v>
      </c>
      <c r="O68" s="5"/>
      <c r="P68" s="5">
        <f t="shared" ref="P68:P131" si="23">C68-C67</f>
        <v>2.6000000000000227</v>
      </c>
      <c r="Q68" s="5">
        <f t="shared" ref="Q68:Q131" si="24">IF(P68&gt;0, P68," ")</f>
        <v>2.6000000000000227</v>
      </c>
      <c r="R68" s="5" t="str">
        <f t="shared" ref="R68:R131" si="25">IF(P68&lt;0,P68," ")</f>
        <v xml:space="preserve"> </v>
      </c>
      <c r="S68" s="8">
        <f t="shared" si="11"/>
        <v>1561.18</v>
      </c>
      <c r="T68" s="8">
        <f t="shared" si="14"/>
        <v>1494.9050000000002</v>
      </c>
      <c r="U68" s="8">
        <f t="shared" si="17"/>
        <v>1510.6859999999997</v>
      </c>
      <c r="V68" s="6"/>
      <c r="W68" s="8">
        <f t="shared" ref="W68:W131" si="26">D68-D67</f>
        <v>12.700000000000045</v>
      </c>
      <c r="X68" s="6">
        <f t="shared" si="20"/>
        <v>12.700000000000045</v>
      </c>
      <c r="Y68" s="6" t="str">
        <f t="shared" si="21"/>
        <v xml:space="preserve"> </v>
      </c>
    </row>
    <row r="69" spans="1:25" x14ac:dyDescent="0.35">
      <c r="A69" s="13">
        <v>45854</v>
      </c>
      <c r="B69" s="15">
        <v>2036.1</v>
      </c>
      <c r="C69" s="11">
        <v>319.2</v>
      </c>
      <c r="D69" s="18">
        <v>1557.5</v>
      </c>
      <c r="E69" s="7">
        <f t="shared" si="9"/>
        <v>2035.5600000000002</v>
      </c>
      <c r="F69" s="7">
        <f t="shared" si="12"/>
        <v>1975.4899999999998</v>
      </c>
      <c r="G69" s="7">
        <f t="shared" si="15"/>
        <v>1992.7340000000002</v>
      </c>
      <c r="H69" s="4"/>
      <c r="I69" s="7">
        <f t="shared" si="22"/>
        <v>12.5</v>
      </c>
      <c r="J69" s="4">
        <f t="shared" si="18"/>
        <v>12.5</v>
      </c>
      <c r="K69" s="4" t="str">
        <f t="shared" si="19"/>
        <v xml:space="preserve"> </v>
      </c>
      <c r="L69" s="5">
        <f t="shared" si="10"/>
        <v>316.7</v>
      </c>
      <c r="M69" s="5">
        <f t="shared" si="13"/>
        <v>321.55499999999995</v>
      </c>
      <c r="N69" s="5">
        <f t="shared" si="16"/>
        <v>318.19200000000001</v>
      </c>
      <c r="O69" s="5"/>
      <c r="P69" s="5">
        <f t="shared" si="23"/>
        <v>0.19999999999998863</v>
      </c>
      <c r="Q69" s="5">
        <f t="shared" si="24"/>
        <v>0.19999999999998863</v>
      </c>
      <c r="R69" s="5" t="str">
        <f t="shared" si="25"/>
        <v xml:space="preserve"> </v>
      </c>
      <c r="S69" s="8">
        <f t="shared" si="11"/>
        <v>1561.2</v>
      </c>
      <c r="T69" s="8">
        <f t="shared" si="14"/>
        <v>1499.8250000000003</v>
      </c>
      <c r="U69" s="8">
        <f t="shared" si="17"/>
        <v>1510.3899999999996</v>
      </c>
      <c r="V69" s="6"/>
      <c r="W69" s="8">
        <f t="shared" si="26"/>
        <v>-5.5</v>
      </c>
      <c r="X69" s="6" t="str">
        <f t="shared" si="20"/>
        <v xml:space="preserve"> </v>
      </c>
      <c r="Y69" s="6">
        <f t="shared" si="21"/>
        <v>-5.5</v>
      </c>
    </row>
    <row r="70" spans="1:25" x14ac:dyDescent="0.35">
      <c r="A70" s="13">
        <v>45853</v>
      </c>
      <c r="B70" s="15">
        <v>2039</v>
      </c>
      <c r="C70" s="11">
        <v>321.2</v>
      </c>
      <c r="D70" s="18">
        <v>1558</v>
      </c>
      <c r="E70" s="7">
        <f t="shared" si="9"/>
        <v>2035.7599999999998</v>
      </c>
      <c r="F70" s="7">
        <f t="shared" si="12"/>
        <v>1982.19</v>
      </c>
      <c r="G70" s="7">
        <f t="shared" si="15"/>
        <v>1992.8540000000003</v>
      </c>
      <c r="H70" s="4"/>
      <c r="I70" s="7">
        <f t="shared" si="22"/>
        <v>2.9000000000000909</v>
      </c>
      <c r="J70" s="4">
        <f t="shared" si="18"/>
        <v>2.9000000000000909</v>
      </c>
      <c r="K70" s="4" t="str">
        <f t="shared" si="19"/>
        <v xml:space="preserve"> </v>
      </c>
      <c r="L70" s="5">
        <f t="shared" si="10"/>
        <v>318.74</v>
      </c>
      <c r="M70" s="5">
        <f t="shared" si="13"/>
        <v>321.26999999999992</v>
      </c>
      <c r="N70" s="5">
        <f t="shared" si="16"/>
        <v>318.584</v>
      </c>
      <c r="O70" s="5"/>
      <c r="P70" s="5">
        <f t="shared" si="23"/>
        <v>2</v>
      </c>
      <c r="Q70" s="5">
        <f t="shared" si="24"/>
        <v>2</v>
      </c>
      <c r="R70" s="5" t="str">
        <f t="shared" si="25"/>
        <v xml:space="preserve"> </v>
      </c>
      <c r="S70" s="8">
        <f t="shared" si="11"/>
        <v>1559.94</v>
      </c>
      <c r="T70" s="8">
        <f t="shared" si="14"/>
        <v>1505.2750000000001</v>
      </c>
      <c r="U70" s="8">
        <f t="shared" si="17"/>
        <v>1509.73</v>
      </c>
      <c r="V70" s="6"/>
      <c r="W70" s="8">
        <f t="shared" si="26"/>
        <v>0.5</v>
      </c>
      <c r="X70" s="6">
        <f t="shared" si="20"/>
        <v>0.5</v>
      </c>
      <c r="Y70" s="6" t="str">
        <f t="shared" si="21"/>
        <v xml:space="preserve"> </v>
      </c>
    </row>
    <row r="71" spans="1:25" x14ac:dyDescent="0.35">
      <c r="A71" s="13">
        <v>45852</v>
      </c>
      <c r="B71" s="15">
        <v>2000.2</v>
      </c>
      <c r="C71" s="11">
        <v>319.3</v>
      </c>
      <c r="D71" s="18">
        <v>1526</v>
      </c>
      <c r="E71" s="7">
        <f t="shared" ref="E71:E134" si="27">AVERAGE(B67:B71)</f>
        <v>2025.2</v>
      </c>
      <c r="F71" s="7">
        <f t="shared" si="12"/>
        <v>1985.7349999999999</v>
      </c>
      <c r="G71" s="7">
        <f t="shared" si="15"/>
        <v>1991.4560000000001</v>
      </c>
      <c r="H71" s="4"/>
      <c r="I71" s="7">
        <f t="shared" si="22"/>
        <v>-38.799999999999955</v>
      </c>
      <c r="J71" s="4" t="str">
        <f t="shared" si="18"/>
        <v xml:space="preserve"> </v>
      </c>
      <c r="K71" s="4">
        <f t="shared" si="19"/>
        <v>-38.799999999999955</v>
      </c>
      <c r="L71" s="5">
        <f t="shared" ref="L71:L134" si="28">AVERAGE(C67:C71)</f>
        <v>319.02</v>
      </c>
      <c r="M71" s="5">
        <f t="shared" si="13"/>
        <v>320.83999999999992</v>
      </c>
      <c r="N71" s="5">
        <f t="shared" si="16"/>
        <v>318.84500000000003</v>
      </c>
      <c r="O71" s="5"/>
      <c r="P71" s="5">
        <f t="shared" si="23"/>
        <v>-1.8999999999999773</v>
      </c>
      <c r="Q71" s="5" t="str">
        <f t="shared" si="24"/>
        <v xml:space="preserve"> </v>
      </c>
      <c r="R71" s="5">
        <f t="shared" si="25"/>
        <v>-1.8999999999999773</v>
      </c>
      <c r="S71" s="8">
        <f t="shared" ref="S71:S134" si="29">AVERAGE(D67:D71)</f>
        <v>1550.96</v>
      </c>
      <c r="T71" s="8">
        <f t="shared" si="14"/>
        <v>1507.5250000000001</v>
      </c>
      <c r="U71" s="8">
        <f t="shared" si="17"/>
        <v>1507.6999999999998</v>
      </c>
      <c r="V71" s="6"/>
      <c r="W71" s="8">
        <f t="shared" si="26"/>
        <v>-32</v>
      </c>
      <c r="X71" s="6" t="str">
        <f t="shared" si="20"/>
        <v xml:space="preserve"> </v>
      </c>
      <c r="Y71" s="6">
        <f t="shared" si="21"/>
        <v>-32</v>
      </c>
    </row>
    <row r="72" spans="1:25" x14ac:dyDescent="0.35">
      <c r="A72" s="13">
        <v>45849</v>
      </c>
      <c r="B72" s="15">
        <v>2012.6</v>
      </c>
      <c r="C72" s="11">
        <v>325.39999999999998</v>
      </c>
      <c r="D72" s="18">
        <v>1528.5</v>
      </c>
      <c r="E72" s="7">
        <f t="shared" si="27"/>
        <v>2022.3</v>
      </c>
      <c r="F72" s="7">
        <f t="shared" si="12"/>
        <v>1990.4149999999997</v>
      </c>
      <c r="G72" s="7">
        <f t="shared" si="15"/>
        <v>1990.0280000000002</v>
      </c>
      <c r="H72" s="4"/>
      <c r="I72" s="7">
        <f t="shared" si="22"/>
        <v>12.399999999999864</v>
      </c>
      <c r="J72" s="4">
        <f t="shared" si="18"/>
        <v>12.399999999999864</v>
      </c>
      <c r="K72" s="4" t="str">
        <f t="shared" si="19"/>
        <v xml:space="preserve"> </v>
      </c>
      <c r="L72" s="5">
        <f t="shared" si="28"/>
        <v>320.82</v>
      </c>
      <c r="M72" s="5">
        <f t="shared" si="13"/>
        <v>321.05999999999989</v>
      </c>
      <c r="N72" s="5">
        <f t="shared" si="16"/>
        <v>319.09199999999998</v>
      </c>
      <c r="O72" s="5"/>
      <c r="P72" s="5">
        <f t="shared" si="23"/>
        <v>6.0999999999999659</v>
      </c>
      <c r="Q72" s="5">
        <f t="shared" si="24"/>
        <v>6.0999999999999659</v>
      </c>
      <c r="R72" s="5" t="str">
        <f t="shared" si="25"/>
        <v xml:space="preserve"> </v>
      </c>
      <c r="S72" s="8">
        <f t="shared" si="29"/>
        <v>1546.6</v>
      </c>
      <c r="T72" s="8">
        <f t="shared" si="14"/>
        <v>1511.4</v>
      </c>
      <c r="U72" s="8">
        <f t="shared" si="17"/>
        <v>1505.796</v>
      </c>
      <c r="V72" s="6"/>
      <c r="W72" s="8">
        <f t="shared" si="26"/>
        <v>2.5</v>
      </c>
      <c r="X72" s="6">
        <f t="shared" si="20"/>
        <v>2.5</v>
      </c>
      <c r="Y72" s="6" t="str">
        <f t="shared" si="21"/>
        <v xml:space="preserve"> </v>
      </c>
    </row>
    <row r="73" spans="1:25" x14ac:dyDescent="0.35">
      <c r="A73" s="13">
        <v>45848</v>
      </c>
      <c r="B73" s="15">
        <v>2037.3</v>
      </c>
      <c r="C73" s="11">
        <v>331.85</v>
      </c>
      <c r="D73" s="18">
        <v>1546</v>
      </c>
      <c r="E73" s="7">
        <f t="shared" si="27"/>
        <v>2025.0399999999997</v>
      </c>
      <c r="F73" s="7">
        <f t="shared" si="12"/>
        <v>1996.2349999999994</v>
      </c>
      <c r="G73" s="7">
        <f t="shared" si="15"/>
        <v>1989.402</v>
      </c>
      <c r="H73" s="4"/>
      <c r="I73" s="7">
        <f t="shared" si="22"/>
        <v>24.700000000000045</v>
      </c>
      <c r="J73" s="4">
        <f t="shared" si="18"/>
        <v>24.700000000000045</v>
      </c>
      <c r="K73" s="4" t="str">
        <f t="shared" si="19"/>
        <v xml:space="preserve"> </v>
      </c>
      <c r="L73" s="5">
        <f t="shared" si="28"/>
        <v>323.39</v>
      </c>
      <c r="M73" s="5">
        <f t="shared" si="13"/>
        <v>321.28249999999997</v>
      </c>
      <c r="N73" s="5">
        <f t="shared" si="16"/>
        <v>319.45499999999998</v>
      </c>
      <c r="O73" s="5"/>
      <c r="P73" s="5">
        <f t="shared" si="23"/>
        <v>6.4500000000000455</v>
      </c>
      <c r="Q73" s="5">
        <f t="shared" si="24"/>
        <v>6.4500000000000455</v>
      </c>
      <c r="R73" s="5" t="str">
        <f t="shared" si="25"/>
        <v xml:space="preserve"> </v>
      </c>
      <c r="S73" s="8">
        <f t="shared" si="29"/>
        <v>1543.2</v>
      </c>
      <c r="T73" s="8">
        <f t="shared" si="14"/>
        <v>1514.3</v>
      </c>
      <c r="U73" s="8">
        <f t="shared" si="17"/>
        <v>1504.1559999999999</v>
      </c>
      <c r="V73" s="6"/>
      <c r="W73" s="8">
        <f t="shared" si="26"/>
        <v>17.5</v>
      </c>
      <c r="X73" s="6">
        <f t="shared" si="20"/>
        <v>17.5</v>
      </c>
      <c r="Y73" s="6" t="str">
        <f t="shared" si="21"/>
        <v xml:space="preserve"> </v>
      </c>
    </row>
    <row r="74" spans="1:25" x14ac:dyDescent="0.35">
      <c r="A74" s="13">
        <v>45847</v>
      </c>
      <c r="B74" s="15">
        <v>2023.9</v>
      </c>
      <c r="C74" s="11">
        <v>329.8</v>
      </c>
      <c r="D74" s="18">
        <v>1568.2</v>
      </c>
      <c r="E74" s="7">
        <f t="shared" si="27"/>
        <v>2022.6</v>
      </c>
      <c r="F74" s="7">
        <f t="shared" si="12"/>
        <v>2001.1299999999999</v>
      </c>
      <c r="G74" s="7">
        <f t="shared" si="15"/>
        <v>1988.47</v>
      </c>
      <c r="H74" s="4"/>
      <c r="I74" s="7">
        <f t="shared" si="22"/>
        <v>-13.399999999999864</v>
      </c>
      <c r="J74" s="4" t="str">
        <f t="shared" si="18"/>
        <v xml:space="preserve"> </v>
      </c>
      <c r="K74" s="4">
        <f t="shared" si="19"/>
        <v>-13.399999999999864</v>
      </c>
      <c r="L74" s="5">
        <f t="shared" si="28"/>
        <v>325.51</v>
      </c>
      <c r="M74" s="5">
        <f t="shared" si="13"/>
        <v>321.47249999999997</v>
      </c>
      <c r="N74" s="5">
        <f t="shared" si="16"/>
        <v>319.69900000000001</v>
      </c>
      <c r="O74" s="5"/>
      <c r="P74" s="5">
        <f t="shared" si="23"/>
        <v>-2.0500000000000114</v>
      </c>
      <c r="Q74" s="5" t="str">
        <f t="shared" si="24"/>
        <v xml:space="preserve"> </v>
      </c>
      <c r="R74" s="5">
        <f t="shared" si="25"/>
        <v>-2.0500000000000114</v>
      </c>
      <c r="S74" s="8">
        <f t="shared" si="29"/>
        <v>1545.34</v>
      </c>
      <c r="T74" s="8">
        <f t="shared" si="14"/>
        <v>1519.9650000000001</v>
      </c>
      <c r="U74" s="8">
        <f t="shared" si="17"/>
        <v>1503.6119999999999</v>
      </c>
      <c r="V74" s="6"/>
      <c r="W74" s="8">
        <f t="shared" si="26"/>
        <v>22.200000000000045</v>
      </c>
      <c r="X74" s="6">
        <f t="shared" si="20"/>
        <v>22.200000000000045</v>
      </c>
      <c r="Y74" s="6" t="str">
        <f t="shared" si="21"/>
        <v xml:space="preserve"> </v>
      </c>
    </row>
    <row r="75" spans="1:25" x14ac:dyDescent="0.35">
      <c r="A75" s="13">
        <v>45846</v>
      </c>
      <c r="B75" s="15">
        <v>2014</v>
      </c>
      <c r="C75" s="11">
        <v>328.8</v>
      </c>
      <c r="D75" s="18">
        <v>1524</v>
      </c>
      <c r="E75" s="7">
        <f t="shared" si="27"/>
        <v>2017.6</v>
      </c>
      <c r="F75" s="7">
        <f t="shared" si="12"/>
        <v>2004.73</v>
      </c>
      <c r="G75" s="7">
        <f t="shared" si="15"/>
        <v>1987.46</v>
      </c>
      <c r="H75" s="4"/>
      <c r="I75" s="7">
        <f t="shared" si="22"/>
        <v>-9.9000000000000909</v>
      </c>
      <c r="J75" s="4" t="str">
        <f t="shared" si="18"/>
        <v xml:space="preserve"> </v>
      </c>
      <c r="K75" s="4">
        <f t="shared" si="19"/>
        <v>-9.9000000000000909</v>
      </c>
      <c r="L75" s="5">
        <f t="shared" si="28"/>
        <v>327.03000000000003</v>
      </c>
      <c r="M75" s="5">
        <f t="shared" si="13"/>
        <v>321.28250000000003</v>
      </c>
      <c r="N75" s="5">
        <f t="shared" si="16"/>
        <v>319.92899999999997</v>
      </c>
      <c r="O75" s="5"/>
      <c r="P75" s="5">
        <f t="shared" si="23"/>
        <v>-1</v>
      </c>
      <c r="Q75" s="5" t="str">
        <f t="shared" si="24"/>
        <v xml:space="preserve"> </v>
      </c>
      <c r="R75" s="5">
        <f t="shared" si="25"/>
        <v>-1</v>
      </c>
      <c r="S75" s="8">
        <f t="shared" si="29"/>
        <v>1538.54</v>
      </c>
      <c r="T75" s="8">
        <f t="shared" si="14"/>
        <v>1522.625</v>
      </c>
      <c r="U75" s="8">
        <f t="shared" si="17"/>
        <v>1502.4720000000002</v>
      </c>
      <c r="V75" s="6"/>
      <c r="W75" s="8">
        <f t="shared" si="26"/>
        <v>-44.200000000000045</v>
      </c>
      <c r="X75" s="6" t="str">
        <f t="shared" si="20"/>
        <v xml:space="preserve"> </v>
      </c>
      <c r="Y75" s="6">
        <f t="shared" si="21"/>
        <v>-44.200000000000045</v>
      </c>
    </row>
    <row r="76" spans="1:25" x14ac:dyDescent="0.35">
      <c r="A76" s="13">
        <v>45845</v>
      </c>
      <c r="B76" s="15">
        <v>2007</v>
      </c>
      <c r="C76" s="11">
        <v>328.3</v>
      </c>
      <c r="D76" s="18">
        <v>1517</v>
      </c>
      <c r="E76" s="7">
        <f t="shared" si="27"/>
        <v>2018.9599999999998</v>
      </c>
      <c r="F76" s="7">
        <f t="shared" si="12"/>
        <v>2008.48</v>
      </c>
      <c r="G76" s="7">
        <f t="shared" si="15"/>
        <v>1986.4</v>
      </c>
      <c r="H76" s="4"/>
      <c r="I76" s="7">
        <f t="shared" si="22"/>
        <v>-7</v>
      </c>
      <c r="J76" s="4" t="str">
        <f t="shared" si="18"/>
        <v xml:space="preserve"> </v>
      </c>
      <c r="K76" s="4">
        <f t="shared" si="19"/>
        <v>-7</v>
      </c>
      <c r="L76" s="5">
        <f t="shared" si="28"/>
        <v>328.83</v>
      </c>
      <c r="M76" s="5">
        <f t="shared" si="13"/>
        <v>320.95500000000004</v>
      </c>
      <c r="N76" s="5">
        <f t="shared" si="16"/>
        <v>320.178</v>
      </c>
      <c r="O76" s="5"/>
      <c r="P76" s="5">
        <f t="shared" si="23"/>
        <v>-0.5</v>
      </c>
      <c r="Q76" s="5" t="str">
        <f t="shared" si="24"/>
        <v xml:space="preserve"> </v>
      </c>
      <c r="R76" s="5">
        <f t="shared" si="25"/>
        <v>-0.5</v>
      </c>
      <c r="S76" s="8">
        <f t="shared" si="29"/>
        <v>1536.74</v>
      </c>
      <c r="T76" s="8">
        <f t="shared" si="14"/>
        <v>1524.925</v>
      </c>
      <c r="U76" s="8">
        <f t="shared" si="17"/>
        <v>1501.2720000000002</v>
      </c>
      <c r="V76" s="6"/>
      <c r="W76" s="8">
        <f t="shared" si="26"/>
        <v>-7</v>
      </c>
      <c r="X76" s="6" t="str">
        <f t="shared" si="20"/>
        <v xml:space="preserve"> </v>
      </c>
      <c r="Y76" s="6">
        <f t="shared" si="21"/>
        <v>-7</v>
      </c>
    </row>
    <row r="77" spans="1:25" x14ac:dyDescent="0.35">
      <c r="A77" s="13">
        <v>45842</v>
      </c>
      <c r="B77" s="15">
        <v>1992.1</v>
      </c>
      <c r="C77" s="11">
        <v>325</v>
      </c>
      <c r="D77" s="18">
        <v>1527.9</v>
      </c>
      <c r="E77" s="7">
        <f t="shared" si="27"/>
        <v>2014.86</v>
      </c>
      <c r="F77" s="7">
        <f t="shared" si="12"/>
        <v>2012.0849999999996</v>
      </c>
      <c r="G77" s="7">
        <f t="shared" si="15"/>
        <v>1984.6020000000003</v>
      </c>
      <c r="H77" s="4"/>
      <c r="I77" s="7">
        <f t="shared" si="22"/>
        <v>-14.900000000000091</v>
      </c>
      <c r="J77" s="4" t="str">
        <f t="shared" si="18"/>
        <v xml:space="preserve"> </v>
      </c>
      <c r="K77" s="4">
        <f t="shared" si="19"/>
        <v>-14.900000000000091</v>
      </c>
      <c r="L77" s="5">
        <f t="shared" si="28"/>
        <v>328.75</v>
      </c>
      <c r="M77" s="5">
        <f t="shared" si="13"/>
        <v>320.71250000000003</v>
      </c>
      <c r="N77" s="5">
        <f t="shared" si="16"/>
        <v>320.36199999999997</v>
      </c>
      <c r="O77" s="5"/>
      <c r="P77" s="5">
        <f t="shared" si="23"/>
        <v>-3.3000000000000114</v>
      </c>
      <c r="Q77" s="5" t="str">
        <f t="shared" si="24"/>
        <v xml:space="preserve"> </v>
      </c>
      <c r="R77" s="5">
        <f t="shared" si="25"/>
        <v>-3.3000000000000114</v>
      </c>
      <c r="S77" s="8">
        <f t="shared" si="29"/>
        <v>1536.6200000000001</v>
      </c>
      <c r="T77" s="8">
        <f t="shared" si="14"/>
        <v>1530.2949999999998</v>
      </c>
      <c r="U77" s="8">
        <f t="shared" si="17"/>
        <v>1500.1099999999997</v>
      </c>
      <c r="V77" s="6"/>
      <c r="W77" s="8">
        <f t="shared" si="26"/>
        <v>10.900000000000091</v>
      </c>
      <c r="X77" s="6">
        <f t="shared" si="20"/>
        <v>10.900000000000091</v>
      </c>
      <c r="Y77" s="6" t="str">
        <f t="shared" si="21"/>
        <v xml:space="preserve"> </v>
      </c>
    </row>
    <row r="78" spans="1:25" x14ac:dyDescent="0.35">
      <c r="A78" s="13">
        <v>45841</v>
      </c>
      <c r="B78" s="15">
        <v>1979.8</v>
      </c>
      <c r="C78" s="11">
        <v>324.89999999999998</v>
      </c>
      <c r="D78" s="18">
        <v>1528</v>
      </c>
      <c r="E78" s="7">
        <f t="shared" si="27"/>
        <v>2003.36</v>
      </c>
      <c r="F78" s="7">
        <f t="shared" si="12"/>
        <v>2013.4749999999997</v>
      </c>
      <c r="G78" s="7">
        <f t="shared" si="15"/>
        <v>1982.5820000000003</v>
      </c>
      <c r="H78" s="4"/>
      <c r="I78" s="7">
        <f t="shared" si="22"/>
        <v>-12.299999999999955</v>
      </c>
      <c r="J78" s="4" t="str">
        <f t="shared" si="18"/>
        <v xml:space="preserve"> </v>
      </c>
      <c r="K78" s="4">
        <f t="shared" si="19"/>
        <v>-12.299999999999955</v>
      </c>
      <c r="L78" s="5">
        <f t="shared" si="28"/>
        <v>327.36</v>
      </c>
      <c r="M78" s="5">
        <f t="shared" si="13"/>
        <v>320.50749999999999</v>
      </c>
      <c r="N78" s="5">
        <f t="shared" si="16"/>
        <v>320.54999999999995</v>
      </c>
      <c r="O78" s="5"/>
      <c r="P78" s="5">
        <f t="shared" si="23"/>
        <v>-0.10000000000002274</v>
      </c>
      <c r="Q78" s="5" t="str">
        <f t="shared" si="24"/>
        <v xml:space="preserve"> </v>
      </c>
      <c r="R78" s="5">
        <f t="shared" si="25"/>
        <v>-0.10000000000002274</v>
      </c>
      <c r="S78" s="8">
        <f t="shared" si="29"/>
        <v>1533.02</v>
      </c>
      <c r="T78" s="8">
        <f t="shared" si="14"/>
        <v>1534.915</v>
      </c>
      <c r="U78" s="8">
        <f t="shared" si="17"/>
        <v>1500.2799999999997</v>
      </c>
      <c r="V78" s="6"/>
      <c r="W78" s="8">
        <f t="shared" si="26"/>
        <v>9.9999999999909051E-2</v>
      </c>
      <c r="X78" s="6">
        <f t="shared" si="20"/>
        <v>9.9999999999909051E-2</v>
      </c>
      <c r="Y78" s="6" t="str">
        <f t="shared" si="21"/>
        <v xml:space="preserve"> </v>
      </c>
    </row>
    <row r="79" spans="1:25" x14ac:dyDescent="0.35">
      <c r="A79" s="13">
        <v>45840</v>
      </c>
      <c r="B79" s="15">
        <v>2009.1</v>
      </c>
      <c r="C79" s="11">
        <v>326.55</v>
      </c>
      <c r="D79" s="18">
        <v>1554.7</v>
      </c>
      <c r="E79" s="7">
        <f t="shared" si="27"/>
        <v>2000.4</v>
      </c>
      <c r="F79" s="7">
        <f t="shared" si="12"/>
        <v>2015.9299999999998</v>
      </c>
      <c r="G79" s="7">
        <f t="shared" si="15"/>
        <v>1981.1000000000008</v>
      </c>
      <c r="H79" s="4"/>
      <c r="I79" s="7">
        <f t="shared" si="22"/>
        <v>29.299999999999955</v>
      </c>
      <c r="J79" s="4">
        <f t="shared" si="18"/>
        <v>29.299999999999955</v>
      </c>
      <c r="K79" s="4" t="str">
        <f t="shared" si="19"/>
        <v xml:space="preserve"> </v>
      </c>
      <c r="L79" s="5">
        <f t="shared" si="28"/>
        <v>326.70999999999998</v>
      </c>
      <c r="M79" s="5">
        <f t="shared" si="13"/>
        <v>320.83500000000004</v>
      </c>
      <c r="N79" s="5">
        <f t="shared" si="16"/>
        <v>320.85699999999991</v>
      </c>
      <c r="O79" s="5"/>
      <c r="P79" s="5">
        <f t="shared" si="23"/>
        <v>1.6500000000000341</v>
      </c>
      <c r="Q79" s="5">
        <f t="shared" si="24"/>
        <v>1.6500000000000341</v>
      </c>
      <c r="R79" s="5" t="str">
        <f t="shared" si="25"/>
        <v xml:space="preserve"> </v>
      </c>
      <c r="S79" s="8">
        <f t="shared" si="29"/>
        <v>1530.32</v>
      </c>
      <c r="T79" s="8">
        <f t="shared" si="14"/>
        <v>1538.65</v>
      </c>
      <c r="U79" s="8">
        <f t="shared" si="17"/>
        <v>1501.1539999999995</v>
      </c>
      <c r="V79" s="6"/>
      <c r="W79" s="8">
        <f t="shared" si="26"/>
        <v>26.700000000000045</v>
      </c>
      <c r="X79" s="6">
        <f t="shared" si="20"/>
        <v>26.700000000000045</v>
      </c>
      <c r="Y79" s="6" t="str">
        <f t="shared" si="21"/>
        <v xml:space="preserve"> </v>
      </c>
    </row>
    <row r="80" spans="1:25" x14ac:dyDescent="0.35">
      <c r="A80" s="13">
        <v>45839</v>
      </c>
      <c r="B80" s="15">
        <v>2055</v>
      </c>
      <c r="C80" s="11">
        <v>330.2</v>
      </c>
      <c r="D80" s="18">
        <v>1600</v>
      </c>
      <c r="E80" s="7">
        <f t="shared" si="27"/>
        <v>2008.6</v>
      </c>
      <c r="F80" s="7">
        <f t="shared" si="12"/>
        <v>2020.0049999999999</v>
      </c>
      <c r="G80" s="7">
        <f t="shared" si="15"/>
        <v>1981.4600000000009</v>
      </c>
      <c r="H80" s="4"/>
      <c r="I80" s="7">
        <f t="shared" si="22"/>
        <v>45.900000000000091</v>
      </c>
      <c r="J80" s="4">
        <f t="shared" si="18"/>
        <v>45.900000000000091</v>
      </c>
      <c r="K80" s="4" t="str">
        <f t="shared" si="19"/>
        <v xml:space="preserve"> </v>
      </c>
      <c r="L80" s="5">
        <f t="shared" si="28"/>
        <v>326.99</v>
      </c>
      <c r="M80" s="5">
        <f t="shared" si="13"/>
        <v>321.245</v>
      </c>
      <c r="N80" s="5">
        <f t="shared" si="16"/>
        <v>321.24299999999994</v>
      </c>
      <c r="O80" s="5"/>
      <c r="P80" s="5">
        <f t="shared" si="23"/>
        <v>3.6499999999999773</v>
      </c>
      <c r="Q80" s="5">
        <f t="shared" si="24"/>
        <v>3.6499999999999773</v>
      </c>
      <c r="R80" s="5" t="str">
        <f t="shared" si="25"/>
        <v xml:space="preserve"> </v>
      </c>
      <c r="S80" s="8">
        <f t="shared" si="29"/>
        <v>1545.52</v>
      </c>
      <c r="T80" s="8">
        <f t="shared" si="14"/>
        <v>1544.4150000000002</v>
      </c>
      <c r="U80" s="8">
        <f t="shared" si="17"/>
        <v>1503.2739999999999</v>
      </c>
      <c r="V80" s="6"/>
      <c r="W80" s="8">
        <f t="shared" si="26"/>
        <v>45.299999999999955</v>
      </c>
      <c r="X80" s="6">
        <f t="shared" si="20"/>
        <v>45.299999999999955</v>
      </c>
      <c r="Y80" s="6" t="str">
        <f t="shared" si="21"/>
        <v xml:space="preserve"> </v>
      </c>
    </row>
    <row r="81" spans="1:25" x14ac:dyDescent="0.35">
      <c r="A81" s="13">
        <v>45838</v>
      </c>
      <c r="B81" s="15">
        <v>2055.1</v>
      </c>
      <c r="C81" s="11">
        <v>327.39999999999998</v>
      </c>
      <c r="D81" s="18">
        <v>1628</v>
      </c>
      <c r="E81" s="7">
        <f t="shared" si="27"/>
        <v>2018.22</v>
      </c>
      <c r="F81" s="7">
        <f t="shared" si="12"/>
        <v>2023.9649999999997</v>
      </c>
      <c r="G81" s="7">
        <f t="shared" si="15"/>
        <v>1981.802000000001</v>
      </c>
      <c r="H81" s="4"/>
      <c r="I81" s="7">
        <f t="shared" si="22"/>
        <v>9.9999999999909051E-2</v>
      </c>
      <c r="J81" s="4">
        <f t="shared" si="18"/>
        <v>9.9999999999909051E-2</v>
      </c>
      <c r="K81" s="4" t="str">
        <f t="shared" si="19"/>
        <v xml:space="preserve"> </v>
      </c>
      <c r="L81" s="5">
        <f t="shared" si="28"/>
        <v>326.81000000000006</v>
      </c>
      <c r="M81" s="5">
        <f t="shared" si="13"/>
        <v>322.23999999999995</v>
      </c>
      <c r="N81" s="5">
        <f t="shared" si="16"/>
        <v>321.58399999999995</v>
      </c>
      <c r="O81" s="5"/>
      <c r="P81" s="5">
        <f t="shared" si="23"/>
        <v>-2.8000000000000114</v>
      </c>
      <c r="Q81" s="5" t="str">
        <f t="shared" si="24"/>
        <v xml:space="preserve"> </v>
      </c>
      <c r="R81" s="5">
        <f t="shared" si="25"/>
        <v>-2.8000000000000114</v>
      </c>
      <c r="S81" s="8">
        <f t="shared" si="29"/>
        <v>1567.72</v>
      </c>
      <c r="T81" s="8">
        <f t="shared" si="14"/>
        <v>1551.2800000000002</v>
      </c>
      <c r="U81" s="8">
        <f t="shared" si="17"/>
        <v>1505.2660000000001</v>
      </c>
      <c r="V81" s="6"/>
      <c r="W81" s="8">
        <f t="shared" si="26"/>
        <v>28</v>
      </c>
      <c r="X81" s="6">
        <f t="shared" si="20"/>
        <v>28</v>
      </c>
      <c r="Y81" s="6" t="str">
        <f t="shared" si="21"/>
        <v xml:space="preserve"> </v>
      </c>
    </row>
    <row r="82" spans="1:25" x14ac:dyDescent="0.35">
      <c r="A82" s="13">
        <v>45835</v>
      </c>
      <c r="B82" s="15">
        <v>2036</v>
      </c>
      <c r="C82" s="11">
        <v>324.60000000000002</v>
      </c>
      <c r="D82" s="18">
        <v>1653.3</v>
      </c>
      <c r="E82" s="7">
        <f t="shared" si="27"/>
        <v>2027</v>
      </c>
      <c r="F82" s="7">
        <f t="shared" si="12"/>
        <v>2026.4949999999997</v>
      </c>
      <c r="G82" s="7">
        <f t="shared" si="15"/>
        <v>1981.9900000000009</v>
      </c>
      <c r="H82" s="4"/>
      <c r="I82" s="7">
        <f t="shared" si="22"/>
        <v>-19.099999999999909</v>
      </c>
      <c r="J82" s="4" t="str">
        <f t="shared" si="18"/>
        <v xml:space="preserve"> </v>
      </c>
      <c r="K82" s="4">
        <f t="shared" si="19"/>
        <v>-19.099999999999909</v>
      </c>
      <c r="L82" s="5">
        <f t="shared" si="28"/>
        <v>326.73</v>
      </c>
      <c r="M82" s="5">
        <f t="shared" si="13"/>
        <v>322.91500000000002</v>
      </c>
      <c r="N82" s="5">
        <f t="shared" si="16"/>
        <v>321.904</v>
      </c>
      <c r="O82" s="5"/>
      <c r="P82" s="5">
        <f t="shared" si="23"/>
        <v>-2.7999999999999545</v>
      </c>
      <c r="Q82" s="5" t="str">
        <f t="shared" si="24"/>
        <v xml:space="preserve"> </v>
      </c>
      <c r="R82" s="5">
        <f t="shared" si="25"/>
        <v>-2.7999999999999545</v>
      </c>
      <c r="S82" s="8">
        <f t="shared" si="29"/>
        <v>1592.8</v>
      </c>
      <c r="T82" s="8">
        <f t="shared" si="14"/>
        <v>1558.7500000000002</v>
      </c>
      <c r="U82" s="8">
        <f t="shared" si="17"/>
        <v>1508.2120000000002</v>
      </c>
      <c r="V82" s="6"/>
      <c r="W82" s="8">
        <f t="shared" si="26"/>
        <v>25.299999999999955</v>
      </c>
      <c r="X82" s="6">
        <f t="shared" si="20"/>
        <v>25.299999999999955</v>
      </c>
      <c r="Y82" s="6" t="str">
        <f t="shared" si="21"/>
        <v xml:space="preserve"> </v>
      </c>
    </row>
    <row r="83" spans="1:25" x14ac:dyDescent="0.35">
      <c r="A83" s="13">
        <v>45834</v>
      </c>
      <c r="B83" s="15">
        <v>2050</v>
      </c>
      <c r="C83" s="11">
        <v>312.55</v>
      </c>
      <c r="D83" s="18">
        <v>1625</v>
      </c>
      <c r="E83" s="7">
        <f t="shared" si="27"/>
        <v>2041.0400000000002</v>
      </c>
      <c r="F83" s="7">
        <f t="shared" si="12"/>
        <v>2027.4950000000001</v>
      </c>
      <c r="G83" s="7">
        <f t="shared" si="15"/>
        <v>1982.7900000000009</v>
      </c>
      <c r="H83" s="4"/>
      <c r="I83" s="7">
        <f t="shared" si="22"/>
        <v>14</v>
      </c>
      <c r="J83" s="4">
        <f t="shared" si="18"/>
        <v>14</v>
      </c>
      <c r="K83" s="4" t="str">
        <f t="shared" si="19"/>
        <v xml:space="preserve"> </v>
      </c>
      <c r="L83" s="5">
        <f t="shared" si="28"/>
        <v>324.26</v>
      </c>
      <c r="M83" s="5">
        <f t="shared" si="13"/>
        <v>322.71750000000003</v>
      </c>
      <c r="N83" s="5">
        <f t="shared" si="16"/>
        <v>321.93799999999993</v>
      </c>
      <c r="O83" s="5"/>
      <c r="P83" s="5">
        <f t="shared" si="23"/>
        <v>-12.050000000000011</v>
      </c>
      <c r="Q83" s="5" t="str">
        <f t="shared" si="24"/>
        <v xml:space="preserve"> </v>
      </c>
      <c r="R83" s="5">
        <f t="shared" si="25"/>
        <v>-12.050000000000011</v>
      </c>
      <c r="S83" s="8">
        <f t="shared" si="29"/>
        <v>1612.2</v>
      </c>
      <c r="T83" s="8">
        <f t="shared" si="14"/>
        <v>1562.4</v>
      </c>
      <c r="U83" s="8">
        <f t="shared" si="17"/>
        <v>1510.89</v>
      </c>
      <c r="V83" s="6"/>
      <c r="W83" s="8">
        <f t="shared" si="26"/>
        <v>-28.299999999999955</v>
      </c>
      <c r="X83" s="6" t="str">
        <f t="shared" si="20"/>
        <v xml:space="preserve"> </v>
      </c>
      <c r="Y83" s="6">
        <f t="shared" si="21"/>
        <v>-28.299999999999955</v>
      </c>
    </row>
    <row r="84" spans="1:25" x14ac:dyDescent="0.35">
      <c r="A84" s="13">
        <v>45833</v>
      </c>
      <c r="B84" s="15">
        <v>2014.4</v>
      </c>
      <c r="C84" s="11">
        <v>303.5</v>
      </c>
      <c r="D84" s="18">
        <v>1604</v>
      </c>
      <c r="E84" s="7">
        <f t="shared" si="27"/>
        <v>2042.1</v>
      </c>
      <c r="F84" s="7">
        <f t="shared" si="12"/>
        <v>2025.1650000000002</v>
      </c>
      <c r="G84" s="7">
        <f t="shared" si="15"/>
        <v>1982.7780000000005</v>
      </c>
      <c r="H84" s="4"/>
      <c r="I84" s="7">
        <f t="shared" si="22"/>
        <v>-35.599999999999909</v>
      </c>
      <c r="J84" s="4" t="str">
        <f t="shared" si="18"/>
        <v xml:space="preserve"> </v>
      </c>
      <c r="K84" s="4">
        <f t="shared" si="19"/>
        <v>-35.599999999999909</v>
      </c>
      <c r="L84" s="5">
        <f t="shared" si="28"/>
        <v>319.64999999999998</v>
      </c>
      <c r="M84" s="5">
        <f t="shared" si="13"/>
        <v>322.14250000000004</v>
      </c>
      <c r="N84" s="5">
        <f t="shared" si="16"/>
        <v>321.80799999999994</v>
      </c>
      <c r="O84" s="5"/>
      <c r="P84" s="5">
        <f t="shared" si="23"/>
        <v>-9.0500000000000114</v>
      </c>
      <c r="Q84" s="5" t="str">
        <f t="shared" si="24"/>
        <v xml:space="preserve"> </v>
      </c>
      <c r="R84" s="5">
        <f t="shared" si="25"/>
        <v>-9.0500000000000114</v>
      </c>
      <c r="S84" s="8">
        <f t="shared" si="29"/>
        <v>1622.06</v>
      </c>
      <c r="T84" s="8">
        <f t="shared" si="14"/>
        <v>1564.73</v>
      </c>
      <c r="U84" s="8">
        <f t="shared" si="17"/>
        <v>1513.15</v>
      </c>
      <c r="V84" s="6"/>
      <c r="W84" s="8">
        <f t="shared" si="26"/>
        <v>-21</v>
      </c>
      <c r="X84" s="6" t="str">
        <f t="shared" si="20"/>
        <v xml:space="preserve"> </v>
      </c>
      <c r="Y84" s="6">
        <f t="shared" si="21"/>
        <v>-21</v>
      </c>
    </row>
    <row r="85" spans="1:25" x14ac:dyDescent="0.35">
      <c r="A85" s="13">
        <v>45832</v>
      </c>
      <c r="B85" s="15">
        <v>2008</v>
      </c>
      <c r="C85" s="11">
        <v>301.5</v>
      </c>
      <c r="D85" s="18">
        <v>1602.9</v>
      </c>
      <c r="E85" s="7">
        <f t="shared" si="27"/>
        <v>2032.7</v>
      </c>
      <c r="F85" s="7">
        <f t="shared" si="12"/>
        <v>2023.6649999999997</v>
      </c>
      <c r="G85" s="7">
        <f t="shared" si="15"/>
        <v>1982.8780000000002</v>
      </c>
      <c r="H85" s="4"/>
      <c r="I85" s="7">
        <f t="shared" si="22"/>
        <v>-6.4000000000000909</v>
      </c>
      <c r="J85" s="4" t="str">
        <f t="shared" si="18"/>
        <v xml:space="preserve"> </v>
      </c>
      <c r="K85" s="4">
        <f t="shared" si="19"/>
        <v>-6.4000000000000909</v>
      </c>
      <c r="L85" s="5">
        <f t="shared" si="28"/>
        <v>313.90999999999997</v>
      </c>
      <c r="M85" s="5">
        <f t="shared" si="13"/>
        <v>321.66750000000002</v>
      </c>
      <c r="N85" s="5">
        <f t="shared" si="16"/>
        <v>321.642</v>
      </c>
      <c r="O85" s="5"/>
      <c r="P85" s="5">
        <f t="shared" si="23"/>
        <v>-2</v>
      </c>
      <c r="Q85" s="5" t="str">
        <f t="shared" si="24"/>
        <v xml:space="preserve"> </v>
      </c>
      <c r="R85" s="5">
        <f t="shared" si="25"/>
        <v>-2</v>
      </c>
      <c r="S85" s="8">
        <f t="shared" si="29"/>
        <v>1622.64</v>
      </c>
      <c r="T85" s="8">
        <f t="shared" si="14"/>
        <v>1566.6600000000003</v>
      </c>
      <c r="U85" s="8">
        <f t="shared" si="17"/>
        <v>1515.9480000000001</v>
      </c>
      <c r="V85" s="6"/>
      <c r="W85" s="8">
        <f t="shared" si="26"/>
        <v>-1.0999999999999091</v>
      </c>
      <c r="X85" s="6" t="str">
        <f t="shared" si="20"/>
        <v xml:space="preserve"> </v>
      </c>
      <c r="Y85" s="6">
        <f t="shared" si="21"/>
        <v>-1.0999999999999091</v>
      </c>
    </row>
    <row r="86" spans="1:25" x14ac:dyDescent="0.35">
      <c r="A86" s="13">
        <v>45831</v>
      </c>
      <c r="B86" s="15">
        <v>1995</v>
      </c>
      <c r="C86" s="11">
        <v>293.2</v>
      </c>
      <c r="D86" s="18">
        <v>1577.3</v>
      </c>
      <c r="E86" s="7">
        <f t="shared" si="27"/>
        <v>2020.6799999999998</v>
      </c>
      <c r="F86" s="7">
        <f t="shared" ref="F86:F149" si="30">AVERAGE(B67:B86)</f>
        <v>2020.7649999999999</v>
      </c>
      <c r="G86" s="7">
        <f t="shared" si="15"/>
        <v>1983.3580000000002</v>
      </c>
      <c r="H86" s="4"/>
      <c r="I86" s="7">
        <f t="shared" si="22"/>
        <v>-13</v>
      </c>
      <c r="J86" s="4" t="str">
        <f t="shared" si="18"/>
        <v xml:space="preserve"> </v>
      </c>
      <c r="K86" s="4">
        <f t="shared" si="19"/>
        <v>-13</v>
      </c>
      <c r="L86" s="5">
        <f t="shared" si="28"/>
        <v>307.07000000000005</v>
      </c>
      <c r="M86" s="5">
        <f t="shared" ref="M86:M149" si="31">AVERAGE(C67:C86)</f>
        <v>320.4325</v>
      </c>
      <c r="N86" s="5">
        <f t="shared" si="16"/>
        <v>321.22799999999995</v>
      </c>
      <c r="O86" s="5"/>
      <c r="P86" s="5">
        <f t="shared" si="23"/>
        <v>-8.3000000000000114</v>
      </c>
      <c r="Q86" s="5" t="str">
        <f t="shared" si="24"/>
        <v xml:space="preserve"> </v>
      </c>
      <c r="R86" s="5">
        <f t="shared" si="25"/>
        <v>-8.3000000000000114</v>
      </c>
      <c r="S86" s="8">
        <f t="shared" si="29"/>
        <v>1612.5000000000002</v>
      </c>
      <c r="T86" s="8">
        <f t="shared" ref="T86:T149" si="32">AVERAGE(D67:D86)</f>
        <v>1566.98</v>
      </c>
      <c r="U86" s="8">
        <f t="shared" si="17"/>
        <v>1518.614</v>
      </c>
      <c r="V86" s="6"/>
      <c r="W86" s="8">
        <f t="shared" si="26"/>
        <v>-25.600000000000136</v>
      </c>
      <c r="X86" s="6" t="str">
        <f t="shared" si="20"/>
        <v xml:space="preserve"> </v>
      </c>
      <c r="Y86" s="6">
        <f t="shared" si="21"/>
        <v>-25.600000000000136</v>
      </c>
    </row>
    <row r="87" spans="1:25" x14ac:dyDescent="0.35">
      <c r="A87" s="13">
        <v>45828</v>
      </c>
      <c r="B87" s="15">
        <v>1976.8</v>
      </c>
      <c r="C87" s="11">
        <v>293.5</v>
      </c>
      <c r="D87" s="18">
        <v>1550.1</v>
      </c>
      <c r="E87" s="7">
        <f t="shared" si="27"/>
        <v>2008.8399999999997</v>
      </c>
      <c r="F87" s="7">
        <f t="shared" si="30"/>
        <v>2018.2499999999995</v>
      </c>
      <c r="G87" s="7">
        <f t="shared" si="15"/>
        <v>1983.7540000000006</v>
      </c>
      <c r="H87" s="4"/>
      <c r="I87" s="7">
        <f t="shared" si="22"/>
        <v>-18.200000000000045</v>
      </c>
      <c r="J87" s="4" t="str">
        <f t="shared" si="18"/>
        <v xml:space="preserve"> </v>
      </c>
      <c r="K87" s="4">
        <f t="shared" si="19"/>
        <v>-18.200000000000045</v>
      </c>
      <c r="L87" s="5">
        <f t="shared" si="28"/>
        <v>300.85000000000002</v>
      </c>
      <c r="M87" s="5">
        <f t="shared" si="31"/>
        <v>319.28750000000002</v>
      </c>
      <c r="N87" s="5">
        <f t="shared" si="16"/>
        <v>320.86399999999998</v>
      </c>
      <c r="O87" s="5"/>
      <c r="P87" s="5">
        <f t="shared" si="23"/>
        <v>0.30000000000001137</v>
      </c>
      <c r="Q87" s="5">
        <f t="shared" si="24"/>
        <v>0.30000000000001137</v>
      </c>
      <c r="R87" s="5" t="str">
        <f t="shared" si="25"/>
        <v xml:space="preserve"> </v>
      </c>
      <c r="S87" s="8">
        <f t="shared" si="29"/>
        <v>1591.86</v>
      </c>
      <c r="T87" s="8">
        <f t="shared" si="32"/>
        <v>1566.9699999999998</v>
      </c>
      <c r="U87" s="8">
        <f t="shared" si="17"/>
        <v>1520.9560000000001</v>
      </c>
      <c r="V87" s="6"/>
      <c r="W87" s="8">
        <f t="shared" si="26"/>
        <v>-27.200000000000045</v>
      </c>
      <c r="X87" s="6" t="str">
        <f t="shared" si="20"/>
        <v xml:space="preserve"> </v>
      </c>
      <c r="Y87" s="6">
        <f t="shared" si="21"/>
        <v>-27.200000000000045</v>
      </c>
    </row>
    <row r="88" spans="1:25" x14ac:dyDescent="0.35">
      <c r="A88" s="13">
        <v>45827</v>
      </c>
      <c r="B88" s="15">
        <v>1957.4</v>
      </c>
      <c r="C88" s="11">
        <v>283</v>
      </c>
      <c r="D88" s="18">
        <v>1546</v>
      </c>
      <c r="E88" s="7">
        <f t="shared" si="27"/>
        <v>1990.3200000000002</v>
      </c>
      <c r="F88" s="7">
        <f t="shared" si="30"/>
        <v>2014.9399999999998</v>
      </c>
      <c r="G88" s="7">
        <f t="shared" si="15"/>
        <v>1984.0439999999999</v>
      </c>
      <c r="H88" s="4"/>
      <c r="I88" s="7">
        <f t="shared" si="22"/>
        <v>-19.399999999999864</v>
      </c>
      <c r="J88" s="4" t="str">
        <f t="shared" si="18"/>
        <v xml:space="preserve"> </v>
      </c>
      <c r="K88" s="4">
        <f t="shared" si="19"/>
        <v>-19.399999999999864</v>
      </c>
      <c r="L88" s="5">
        <f t="shared" si="28"/>
        <v>294.94</v>
      </c>
      <c r="M88" s="5">
        <f t="shared" si="31"/>
        <v>317.48750000000001</v>
      </c>
      <c r="N88" s="5">
        <f t="shared" si="16"/>
        <v>320.23599999999993</v>
      </c>
      <c r="O88" s="5"/>
      <c r="P88" s="5">
        <f t="shared" si="23"/>
        <v>-10.5</v>
      </c>
      <c r="Q88" s="5" t="str">
        <f t="shared" si="24"/>
        <v xml:space="preserve"> </v>
      </c>
      <c r="R88" s="5">
        <f t="shared" si="25"/>
        <v>-10.5</v>
      </c>
      <c r="S88" s="8">
        <f t="shared" si="29"/>
        <v>1576.06</v>
      </c>
      <c r="T88" s="8">
        <f t="shared" si="32"/>
        <v>1566.12</v>
      </c>
      <c r="U88" s="8">
        <f t="shared" si="17"/>
        <v>1522.87</v>
      </c>
      <c r="V88" s="6"/>
      <c r="W88" s="8">
        <f t="shared" si="26"/>
        <v>-4.0999999999999091</v>
      </c>
      <c r="X88" s="6" t="str">
        <f t="shared" si="20"/>
        <v xml:space="preserve"> </v>
      </c>
      <c r="Y88" s="6">
        <f t="shared" si="21"/>
        <v>-4.0999999999999091</v>
      </c>
    </row>
    <row r="89" spans="1:25" x14ac:dyDescent="0.35">
      <c r="A89" s="13">
        <v>45826</v>
      </c>
      <c r="B89" s="15">
        <v>1979</v>
      </c>
      <c r="C89" s="11">
        <v>287.75</v>
      </c>
      <c r="D89" s="18">
        <v>1586</v>
      </c>
      <c r="E89" s="7">
        <f t="shared" si="27"/>
        <v>1983.2400000000002</v>
      </c>
      <c r="F89" s="7">
        <f t="shared" si="30"/>
        <v>2012.0850000000003</v>
      </c>
      <c r="G89" s="7">
        <f t="shared" si="15"/>
        <v>1985.3039999999999</v>
      </c>
      <c r="H89" s="4"/>
      <c r="I89" s="7">
        <f t="shared" si="22"/>
        <v>21.599999999999909</v>
      </c>
      <c r="J89" s="4">
        <f t="shared" si="18"/>
        <v>21.599999999999909</v>
      </c>
      <c r="K89" s="4" t="str">
        <f t="shared" si="19"/>
        <v xml:space="preserve"> </v>
      </c>
      <c r="L89" s="5">
        <f t="shared" si="28"/>
        <v>291.79000000000002</v>
      </c>
      <c r="M89" s="5">
        <f t="shared" si="31"/>
        <v>315.91500000000002</v>
      </c>
      <c r="N89" s="5">
        <f t="shared" si="16"/>
        <v>319.76499999999999</v>
      </c>
      <c r="O89" s="5"/>
      <c r="P89" s="5">
        <f t="shared" si="23"/>
        <v>4.75</v>
      </c>
      <c r="Q89" s="5">
        <f t="shared" si="24"/>
        <v>4.75</v>
      </c>
      <c r="R89" s="5" t="str">
        <f t="shared" si="25"/>
        <v xml:space="preserve"> </v>
      </c>
      <c r="S89" s="8">
        <f t="shared" si="29"/>
        <v>1572.4599999999998</v>
      </c>
      <c r="T89" s="8">
        <f t="shared" si="32"/>
        <v>1567.5450000000001</v>
      </c>
      <c r="U89" s="8">
        <f t="shared" si="17"/>
        <v>1526.116</v>
      </c>
      <c r="V89" s="6"/>
      <c r="W89" s="8">
        <f t="shared" si="26"/>
        <v>40</v>
      </c>
      <c r="X89" s="6">
        <f t="shared" si="20"/>
        <v>40</v>
      </c>
      <c r="Y89" s="6" t="str">
        <f t="shared" si="21"/>
        <v xml:space="preserve"> </v>
      </c>
    </row>
    <row r="90" spans="1:25" x14ac:dyDescent="0.35">
      <c r="A90" s="13">
        <v>45825</v>
      </c>
      <c r="B90" s="15">
        <v>2001</v>
      </c>
      <c r="C90" s="11">
        <v>289.8</v>
      </c>
      <c r="D90" s="18">
        <v>1553</v>
      </c>
      <c r="E90" s="7">
        <f t="shared" si="27"/>
        <v>1981.8400000000001</v>
      </c>
      <c r="F90" s="7">
        <f t="shared" si="30"/>
        <v>2010.1850000000002</v>
      </c>
      <c r="G90" s="7">
        <f t="shared" si="15"/>
        <v>1986.9840000000002</v>
      </c>
      <c r="H90" s="4"/>
      <c r="I90" s="7">
        <f t="shared" si="22"/>
        <v>22</v>
      </c>
      <c r="J90" s="4">
        <f t="shared" si="18"/>
        <v>22</v>
      </c>
      <c r="K90" s="4" t="str">
        <f t="shared" si="19"/>
        <v xml:space="preserve"> </v>
      </c>
      <c r="L90" s="5">
        <f t="shared" si="28"/>
        <v>289.45</v>
      </c>
      <c r="M90" s="5">
        <f t="shared" si="31"/>
        <v>314.34499999999997</v>
      </c>
      <c r="N90" s="5">
        <f t="shared" si="16"/>
        <v>319.33600000000001</v>
      </c>
      <c r="O90" s="5"/>
      <c r="P90" s="5">
        <f t="shared" si="23"/>
        <v>2.0500000000000114</v>
      </c>
      <c r="Q90" s="5">
        <f t="shared" si="24"/>
        <v>2.0500000000000114</v>
      </c>
      <c r="R90" s="5" t="str">
        <f t="shared" si="25"/>
        <v xml:space="preserve"> </v>
      </c>
      <c r="S90" s="8">
        <f t="shared" si="29"/>
        <v>1562.48</v>
      </c>
      <c r="T90" s="8">
        <f t="shared" si="32"/>
        <v>1567.2950000000001</v>
      </c>
      <c r="U90" s="8">
        <f t="shared" si="17"/>
        <v>1528.336</v>
      </c>
      <c r="V90" s="6"/>
      <c r="W90" s="8">
        <f t="shared" si="26"/>
        <v>-33</v>
      </c>
      <c r="X90" s="6" t="str">
        <f t="shared" si="20"/>
        <v xml:space="preserve"> </v>
      </c>
      <c r="Y90" s="6">
        <f t="shared" si="21"/>
        <v>-33</v>
      </c>
    </row>
    <row r="91" spans="1:25" x14ac:dyDescent="0.35">
      <c r="A91" s="13">
        <v>45824</v>
      </c>
      <c r="B91" s="15">
        <v>2027</v>
      </c>
      <c r="C91" s="11">
        <v>294</v>
      </c>
      <c r="D91" s="18">
        <v>1566</v>
      </c>
      <c r="E91" s="7">
        <f t="shared" si="27"/>
        <v>1988.2400000000002</v>
      </c>
      <c r="F91" s="7">
        <f t="shared" si="30"/>
        <v>2011.5250000000001</v>
      </c>
      <c r="G91" s="7">
        <f t="shared" si="15"/>
        <v>1989.1040000000003</v>
      </c>
      <c r="H91" s="4"/>
      <c r="I91" s="7">
        <f t="shared" si="22"/>
        <v>26</v>
      </c>
      <c r="J91" s="4">
        <f t="shared" si="18"/>
        <v>26</v>
      </c>
      <c r="K91" s="4" t="str">
        <f t="shared" si="19"/>
        <v xml:space="preserve"> </v>
      </c>
      <c r="L91" s="5">
        <f t="shared" si="28"/>
        <v>289.61</v>
      </c>
      <c r="M91" s="5">
        <f t="shared" si="31"/>
        <v>313.08000000000004</v>
      </c>
      <c r="N91" s="5">
        <f t="shared" si="16"/>
        <v>318.90100000000001</v>
      </c>
      <c r="O91" s="5"/>
      <c r="P91" s="5">
        <f t="shared" si="23"/>
        <v>4.1999999999999886</v>
      </c>
      <c r="Q91" s="5">
        <f t="shared" si="24"/>
        <v>4.1999999999999886</v>
      </c>
      <c r="R91" s="5" t="str">
        <f t="shared" si="25"/>
        <v xml:space="preserve"> </v>
      </c>
      <c r="S91" s="8">
        <f t="shared" si="29"/>
        <v>1560.22</v>
      </c>
      <c r="T91" s="8">
        <f t="shared" si="32"/>
        <v>1569.2950000000001</v>
      </c>
      <c r="U91" s="8">
        <f t="shared" si="17"/>
        <v>1530.1020000000001</v>
      </c>
      <c r="V91" s="6"/>
      <c r="W91" s="8">
        <f t="shared" si="26"/>
        <v>13</v>
      </c>
      <c r="X91" s="6">
        <f t="shared" si="20"/>
        <v>13</v>
      </c>
      <c r="Y91" s="6" t="str">
        <f t="shared" si="21"/>
        <v xml:space="preserve"> </v>
      </c>
    </row>
    <row r="92" spans="1:25" x14ac:dyDescent="0.35">
      <c r="A92" s="13">
        <v>45821</v>
      </c>
      <c r="B92" s="15">
        <v>2015</v>
      </c>
      <c r="C92" s="11">
        <v>295.10000000000002</v>
      </c>
      <c r="D92" s="18">
        <v>1555</v>
      </c>
      <c r="E92" s="7">
        <f t="shared" si="27"/>
        <v>1995.8799999999999</v>
      </c>
      <c r="F92" s="7">
        <f t="shared" si="30"/>
        <v>2011.645</v>
      </c>
      <c r="G92" s="7">
        <f t="shared" si="15"/>
        <v>1990.1240000000003</v>
      </c>
      <c r="H92" s="4"/>
      <c r="I92" s="7">
        <f t="shared" si="22"/>
        <v>-12</v>
      </c>
      <c r="J92" s="4" t="str">
        <f t="shared" si="18"/>
        <v xml:space="preserve"> </v>
      </c>
      <c r="K92" s="4">
        <f t="shared" si="19"/>
        <v>-12</v>
      </c>
      <c r="L92" s="5">
        <f t="shared" si="28"/>
        <v>289.93</v>
      </c>
      <c r="M92" s="5">
        <f t="shared" si="31"/>
        <v>311.56500000000005</v>
      </c>
      <c r="N92" s="5">
        <f t="shared" si="16"/>
        <v>318.41199999999998</v>
      </c>
      <c r="O92" s="5"/>
      <c r="P92" s="5">
        <f t="shared" si="23"/>
        <v>1.1000000000000227</v>
      </c>
      <c r="Q92" s="5">
        <f t="shared" si="24"/>
        <v>1.1000000000000227</v>
      </c>
      <c r="R92" s="5" t="str">
        <f t="shared" si="25"/>
        <v xml:space="preserve"> </v>
      </c>
      <c r="S92" s="8">
        <f t="shared" si="29"/>
        <v>1561.2</v>
      </c>
      <c r="T92" s="8">
        <f t="shared" si="32"/>
        <v>1570.62</v>
      </c>
      <c r="U92" s="8">
        <f t="shared" si="17"/>
        <v>1530.9900000000002</v>
      </c>
      <c r="V92" s="6"/>
      <c r="W92" s="8">
        <f t="shared" si="26"/>
        <v>-11</v>
      </c>
      <c r="X92" s="6" t="str">
        <f t="shared" si="20"/>
        <v xml:space="preserve"> </v>
      </c>
      <c r="Y92" s="6">
        <f t="shared" si="21"/>
        <v>-11</v>
      </c>
    </row>
    <row r="93" spans="1:25" x14ac:dyDescent="0.35">
      <c r="A93" s="13">
        <v>45820</v>
      </c>
      <c r="B93" s="15">
        <v>2022.1</v>
      </c>
      <c r="C93" s="11">
        <v>296.14999999999998</v>
      </c>
      <c r="D93" s="18">
        <v>1580.4</v>
      </c>
      <c r="E93" s="7">
        <f t="shared" si="27"/>
        <v>2008.8200000000002</v>
      </c>
      <c r="F93" s="7">
        <f t="shared" si="30"/>
        <v>2010.8850000000002</v>
      </c>
      <c r="G93" s="7">
        <f t="shared" si="15"/>
        <v>1991.2140000000002</v>
      </c>
      <c r="H93" s="4"/>
      <c r="I93" s="7">
        <f t="shared" si="22"/>
        <v>7.0999999999999091</v>
      </c>
      <c r="J93" s="4">
        <f t="shared" si="18"/>
        <v>7.0999999999999091</v>
      </c>
      <c r="K93" s="4" t="str">
        <f t="shared" si="19"/>
        <v xml:space="preserve"> </v>
      </c>
      <c r="L93" s="5">
        <f t="shared" si="28"/>
        <v>292.56000000000006</v>
      </c>
      <c r="M93" s="5">
        <f t="shared" si="31"/>
        <v>309.78000000000003</v>
      </c>
      <c r="N93" s="5">
        <f t="shared" si="16"/>
        <v>317.92499999999995</v>
      </c>
      <c r="O93" s="5"/>
      <c r="P93" s="5">
        <f t="shared" si="23"/>
        <v>1.0499999999999545</v>
      </c>
      <c r="Q93" s="5">
        <f t="shared" si="24"/>
        <v>1.0499999999999545</v>
      </c>
      <c r="R93" s="5" t="str">
        <f t="shared" si="25"/>
        <v xml:space="preserve"> </v>
      </c>
      <c r="S93" s="8">
        <f t="shared" si="29"/>
        <v>1568.08</v>
      </c>
      <c r="T93" s="8">
        <f t="shared" si="32"/>
        <v>1572.34</v>
      </c>
      <c r="U93" s="8">
        <f t="shared" si="17"/>
        <v>1532.152</v>
      </c>
      <c r="V93" s="6"/>
      <c r="W93" s="8">
        <f t="shared" si="26"/>
        <v>25.400000000000091</v>
      </c>
      <c r="X93" s="6">
        <f t="shared" si="20"/>
        <v>25.400000000000091</v>
      </c>
      <c r="Y93" s="6" t="str">
        <f t="shared" si="21"/>
        <v xml:space="preserve"> </v>
      </c>
    </row>
    <row r="94" spans="1:25" x14ac:dyDescent="0.35">
      <c r="A94" s="13">
        <v>45819</v>
      </c>
      <c r="B94" s="15">
        <v>2012</v>
      </c>
      <c r="C94" s="11">
        <v>302.60000000000002</v>
      </c>
      <c r="D94" s="18">
        <v>1609</v>
      </c>
      <c r="E94" s="7">
        <f t="shared" si="27"/>
        <v>2015.42</v>
      </c>
      <c r="F94" s="7">
        <f t="shared" si="30"/>
        <v>2010.2899999999997</v>
      </c>
      <c r="G94" s="7">
        <f t="shared" si="15"/>
        <v>1991.8820000000001</v>
      </c>
      <c r="H94" s="4"/>
      <c r="I94" s="7">
        <f t="shared" si="22"/>
        <v>-10.099999999999909</v>
      </c>
      <c r="J94" s="4" t="str">
        <f t="shared" si="18"/>
        <v xml:space="preserve"> </v>
      </c>
      <c r="K94" s="4">
        <f t="shared" si="19"/>
        <v>-10.099999999999909</v>
      </c>
      <c r="L94" s="5">
        <f t="shared" si="28"/>
        <v>295.53000000000003</v>
      </c>
      <c r="M94" s="5">
        <f t="shared" si="31"/>
        <v>308.42</v>
      </c>
      <c r="N94" s="5">
        <f t="shared" si="16"/>
        <v>317.49599999999992</v>
      </c>
      <c r="O94" s="5"/>
      <c r="P94" s="5">
        <f t="shared" si="23"/>
        <v>6.4500000000000455</v>
      </c>
      <c r="Q94" s="5">
        <f t="shared" si="24"/>
        <v>6.4500000000000455</v>
      </c>
      <c r="R94" s="5" t="str">
        <f t="shared" si="25"/>
        <v xml:space="preserve"> </v>
      </c>
      <c r="S94" s="8">
        <f t="shared" si="29"/>
        <v>1572.6799999999998</v>
      </c>
      <c r="T94" s="8">
        <f t="shared" si="32"/>
        <v>1574.3799999999999</v>
      </c>
      <c r="U94" s="8">
        <f t="shared" si="17"/>
        <v>1533.9720000000002</v>
      </c>
      <c r="V94" s="6"/>
      <c r="W94" s="8">
        <f t="shared" si="26"/>
        <v>28.599999999999909</v>
      </c>
      <c r="X94" s="6">
        <f t="shared" si="20"/>
        <v>28.599999999999909</v>
      </c>
      <c r="Y94" s="6" t="str">
        <f t="shared" si="21"/>
        <v xml:space="preserve"> </v>
      </c>
    </row>
    <row r="95" spans="1:25" x14ac:dyDescent="0.35">
      <c r="A95" s="13">
        <v>45818</v>
      </c>
      <c r="B95" s="15">
        <v>1997.5</v>
      </c>
      <c r="C95" s="11">
        <v>302.39999999999998</v>
      </c>
      <c r="D95" s="18">
        <v>1630.1</v>
      </c>
      <c r="E95" s="7">
        <f t="shared" si="27"/>
        <v>2014.72</v>
      </c>
      <c r="F95" s="7">
        <f t="shared" si="30"/>
        <v>2009.4649999999997</v>
      </c>
      <c r="G95" s="7">
        <f t="shared" si="15"/>
        <v>1992.652</v>
      </c>
      <c r="H95" s="4"/>
      <c r="I95" s="7">
        <f t="shared" si="22"/>
        <v>-14.5</v>
      </c>
      <c r="J95" s="4" t="str">
        <f t="shared" si="18"/>
        <v xml:space="preserve"> </v>
      </c>
      <c r="K95" s="4">
        <f t="shared" si="19"/>
        <v>-14.5</v>
      </c>
      <c r="L95" s="5">
        <f t="shared" si="28"/>
        <v>298.05</v>
      </c>
      <c r="M95" s="5">
        <f t="shared" si="31"/>
        <v>307.10000000000002</v>
      </c>
      <c r="N95" s="5">
        <f t="shared" si="16"/>
        <v>316.97399999999993</v>
      </c>
      <c r="O95" s="5"/>
      <c r="P95" s="5">
        <f t="shared" si="23"/>
        <v>-0.20000000000004547</v>
      </c>
      <c r="Q95" s="5" t="str">
        <f t="shared" si="24"/>
        <v xml:space="preserve"> </v>
      </c>
      <c r="R95" s="5">
        <f t="shared" si="25"/>
        <v>-0.20000000000004547</v>
      </c>
      <c r="S95" s="8">
        <f t="shared" si="29"/>
        <v>1588.1</v>
      </c>
      <c r="T95" s="8">
        <f t="shared" si="32"/>
        <v>1579.6849999999999</v>
      </c>
      <c r="U95" s="8">
        <f t="shared" si="17"/>
        <v>1536.0840000000003</v>
      </c>
      <c r="V95" s="6"/>
      <c r="W95" s="8">
        <f t="shared" si="26"/>
        <v>21.099999999999909</v>
      </c>
      <c r="X95" s="6">
        <f t="shared" si="20"/>
        <v>21.099999999999909</v>
      </c>
      <c r="Y95" s="6" t="str">
        <f t="shared" si="21"/>
        <v xml:space="preserve"> </v>
      </c>
    </row>
    <row r="96" spans="1:25" x14ac:dyDescent="0.35">
      <c r="A96" s="13">
        <v>45817</v>
      </c>
      <c r="B96" s="15">
        <v>2021</v>
      </c>
      <c r="C96" s="11">
        <v>305.45</v>
      </c>
      <c r="D96" s="18">
        <v>1642.1</v>
      </c>
      <c r="E96" s="7">
        <f t="shared" si="27"/>
        <v>2013.52</v>
      </c>
      <c r="F96" s="7">
        <f t="shared" si="30"/>
        <v>2010.1650000000002</v>
      </c>
      <c r="G96" s="7">
        <f t="shared" si="15"/>
        <v>1993.5940000000001</v>
      </c>
      <c r="H96" s="4"/>
      <c r="I96" s="7">
        <f t="shared" si="22"/>
        <v>23.5</v>
      </c>
      <c r="J96" s="4">
        <f t="shared" si="18"/>
        <v>23.5</v>
      </c>
      <c r="K96" s="4" t="str">
        <f t="shared" si="19"/>
        <v xml:space="preserve"> </v>
      </c>
      <c r="L96" s="5">
        <f t="shared" si="28"/>
        <v>300.34000000000003</v>
      </c>
      <c r="M96" s="5">
        <f t="shared" si="31"/>
        <v>305.95749999999998</v>
      </c>
      <c r="N96" s="5">
        <f t="shared" si="16"/>
        <v>316.45499999999998</v>
      </c>
      <c r="O96" s="5"/>
      <c r="P96" s="5">
        <f t="shared" si="23"/>
        <v>3.0500000000000114</v>
      </c>
      <c r="Q96" s="5">
        <f t="shared" si="24"/>
        <v>3.0500000000000114</v>
      </c>
      <c r="R96" s="5" t="str">
        <f t="shared" si="25"/>
        <v xml:space="preserve"> </v>
      </c>
      <c r="S96" s="8">
        <f t="shared" si="29"/>
        <v>1603.3200000000002</v>
      </c>
      <c r="T96" s="8">
        <f t="shared" si="32"/>
        <v>1585.9399999999998</v>
      </c>
      <c r="U96" s="8">
        <f t="shared" si="17"/>
        <v>1538.422</v>
      </c>
      <c r="V96" s="6"/>
      <c r="W96" s="8">
        <f t="shared" si="26"/>
        <v>12</v>
      </c>
      <c r="X96" s="6">
        <f t="shared" si="20"/>
        <v>12</v>
      </c>
      <c r="Y96" s="6" t="str">
        <f t="shared" si="21"/>
        <v xml:space="preserve"> </v>
      </c>
    </row>
    <row r="97" spans="1:25" x14ac:dyDescent="0.35">
      <c r="A97" s="13">
        <v>45814</v>
      </c>
      <c r="B97" s="15">
        <v>1988.7</v>
      </c>
      <c r="C97" s="11">
        <v>294.10000000000002</v>
      </c>
      <c r="D97" s="18">
        <v>1591</v>
      </c>
      <c r="E97" s="7">
        <f t="shared" si="27"/>
        <v>2008.2600000000002</v>
      </c>
      <c r="F97" s="7">
        <f t="shared" si="30"/>
        <v>2009.9949999999997</v>
      </c>
      <c r="G97" s="7">
        <f t="shared" si="15"/>
        <v>1993.4679999999998</v>
      </c>
      <c r="H97" s="4"/>
      <c r="I97" s="7">
        <f t="shared" si="22"/>
        <v>-32.299999999999955</v>
      </c>
      <c r="J97" s="4" t="str">
        <f t="shared" si="18"/>
        <v xml:space="preserve"> </v>
      </c>
      <c r="K97" s="4">
        <f t="shared" si="19"/>
        <v>-32.299999999999955</v>
      </c>
      <c r="L97" s="5">
        <f t="shared" si="28"/>
        <v>300.14</v>
      </c>
      <c r="M97" s="5">
        <f t="shared" si="31"/>
        <v>304.41250000000002</v>
      </c>
      <c r="N97" s="5">
        <f t="shared" si="16"/>
        <v>315.74299999999994</v>
      </c>
      <c r="O97" s="5"/>
      <c r="P97" s="5">
        <f t="shared" si="23"/>
        <v>-11.349999999999966</v>
      </c>
      <c r="Q97" s="5" t="str">
        <f t="shared" si="24"/>
        <v xml:space="preserve"> </v>
      </c>
      <c r="R97" s="5">
        <f t="shared" si="25"/>
        <v>-11.349999999999966</v>
      </c>
      <c r="S97" s="8">
        <f t="shared" si="29"/>
        <v>1610.52</v>
      </c>
      <c r="T97" s="8">
        <f t="shared" si="32"/>
        <v>1589.0949999999998</v>
      </c>
      <c r="U97" s="8">
        <f t="shared" si="17"/>
        <v>1539.8420000000001</v>
      </c>
      <c r="V97" s="6"/>
      <c r="W97" s="8">
        <f t="shared" si="26"/>
        <v>-51.099999999999909</v>
      </c>
      <c r="X97" s="6" t="str">
        <f t="shared" si="20"/>
        <v xml:space="preserve"> </v>
      </c>
      <c r="Y97" s="6">
        <f t="shared" si="21"/>
        <v>-51.099999999999909</v>
      </c>
    </row>
    <row r="98" spans="1:25" x14ac:dyDescent="0.35">
      <c r="A98" s="13">
        <v>45813</v>
      </c>
      <c r="B98" s="15">
        <v>1944.9</v>
      </c>
      <c r="C98" s="11">
        <v>291.10000000000002</v>
      </c>
      <c r="D98" s="18">
        <v>1514.7</v>
      </c>
      <c r="E98" s="7">
        <f t="shared" si="27"/>
        <v>1992.8200000000002</v>
      </c>
      <c r="F98" s="7">
        <f t="shared" si="30"/>
        <v>2008.25</v>
      </c>
      <c r="G98" s="7">
        <f t="shared" si="15"/>
        <v>1993.9539999999997</v>
      </c>
      <c r="H98" s="4"/>
      <c r="I98" s="7">
        <f t="shared" si="22"/>
        <v>-43.799999999999955</v>
      </c>
      <c r="J98" s="4" t="str">
        <f t="shared" si="18"/>
        <v xml:space="preserve"> </v>
      </c>
      <c r="K98" s="4">
        <f t="shared" si="19"/>
        <v>-43.799999999999955</v>
      </c>
      <c r="L98" s="5">
        <f t="shared" si="28"/>
        <v>299.13</v>
      </c>
      <c r="M98" s="5">
        <f t="shared" si="31"/>
        <v>302.72250000000003</v>
      </c>
      <c r="N98" s="5">
        <f t="shared" si="16"/>
        <v>315.01799999999997</v>
      </c>
      <c r="O98" s="5"/>
      <c r="P98" s="5">
        <f t="shared" si="23"/>
        <v>-3</v>
      </c>
      <c r="Q98" s="5" t="str">
        <f t="shared" si="24"/>
        <v xml:space="preserve"> </v>
      </c>
      <c r="R98" s="5">
        <f t="shared" si="25"/>
        <v>-3</v>
      </c>
      <c r="S98" s="8">
        <f t="shared" si="29"/>
        <v>1597.3799999999999</v>
      </c>
      <c r="T98" s="8">
        <f t="shared" si="32"/>
        <v>1588.4299999999998</v>
      </c>
      <c r="U98" s="8">
        <f t="shared" si="17"/>
        <v>1540.9560000000001</v>
      </c>
      <c r="V98" s="6"/>
      <c r="W98" s="8">
        <f t="shared" si="26"/>
        <v>-76.299999999999955</v>
      </c>
      <c r="X98" s="6" t="str">
        <f t="shared" si="20"/>
        <v xml:space="preserve"> </v>
      </c>
      <c r="Y98" s="6">
        <f t="shared" si="21"/>
        <v>-76.299999999999955</v>
      </c>
    </row>
    <row r="99" spans="1:25" x14ac:dyDescent="0.35">
      <c r="A99" s="13">
        <v>45812</v>
      </c>
      <c r="B99" s="15">
        <v>1959.5</v>
      </c>
      <c r="C99" s="11">
        <v>290.60000000000002</v>
      </c>
      <c r="D99" s="18">
        <v>1514</v>
      </c>
      <c r="E99" s="7">
        <f t="shared" si="27"/>
        <v>1982.3200000000002</v>
      </c>
      <c r="F99" s="7">
        <f t="shared" si="30"/>
        <v>2005.77</v>
      </c>
      <c r="G99" s="7">
        <f t="shared" si="15"/>
        <v>1994.8039999999996</v>
      </c>
      <c r="H99" s="4"/>
      <c r="I99" s="7">
        <f t="shared" si="22"/>
        <v>14.599999999999909</v>
      </c>
      <c r="J99" s="4">
        <f t="shared" si="18"/>
        <v>14.599999999999909</v>
      </c>
      <c r="K99" s="4" t="str">
        <f t="shared" si="19"/>
        <v xml:space="preserve"> </v>
      </c>
      <c r="L99" s="5">
        <f t="shared" si="28"/>
        <v>296.73</v>
      </c>
      <c r="M99" s="5">
        <f t="shared" si="31"/>
        <v>300.92500000000007</v>
      </c>
      <c r="N99" s="5">
        <f t="shared" si="16"/>
        <v>314.214</v>
      </c>
      <c r="O99" s="5"/>
      <c r="P99" s="5">
        <f t="shared" si="23"/>
        <v>-0.5</v>
      </c>
      <c r="Q99" s="5" t="str">
        <f t="shared" si="24"/>
        <v xml:space="preserve"> </v>
      </c>
      <c r="R99" s="5">
        <f t="shared" si="25"/>
        <v>-0.5</v>
      </c>
      <c r="S99" s="8">
        <f t="shared" si="29"/>
        <v>1578.3799999999999</v>
      </c>
      <c r="T99" s="8">
        <f t="shared" si="32"/>
        <v>1586.395</v>
      </c>
      <c r="U99" s="8">
        <f t="shared" si="17"/>
        <v>1542.0539999999999</v>
      </c>
      <c r="V99" s="6"/>
      <c r="W99" s="8">
        <f t="shared" si="26"/>
        <v>-0.70000000000004547</v>
      </c>
      <c r="X99" s="6" t="str">
        <f t="shared" si="20"/>
        <v xml:space="preserve"> </v>
      </c>
      <c r="Y99" s="6">
        <f t="shared" si="21"/>
        <v>-0.70000000000004547</v>
      </c>
    </row>
    <row r="100" spans="1:25" x14ac:dyDescent="0.35">
      <c r="A100" s="13">
        <v>45811</v>
      </c>
      <c r="B100" s="15">
        <v>1993.6</v>
      </c>
      <c r="C100" s="11">
        <v>283.8</v>
      </c>
      <c r="D100" s="18">
        <v>1565.6</v>
      </c>
      <c r="E100" s="7">
        <f t="shared" si="27"/>
        <v>1981.5400000000002</v>
      </c>
      <c r="F100" s="7">
        <f t="shared" si="30"/>
        <v>2002.6999999999996</v>
      </c>
      <c r="G100" s="7">
        <f t="shared" si="15"/>
        <v>1996.5759999999998</v>
      </c>
      <c r="H100" s="4"/>
      <c r="I100" s="7">
        <f t="shared" si="22"/>
        <v>34.099999999999909</v>
      </c>
      <c r="J100" s="4">
        <f t="shared" si="18"/>
        <v>34.099999999999909</v>
      </c>
      <c r="K100" s="4" t="str">
        <f t="shared" si="19"/>
        <v xml:space="preserve"> </v>
      </c>
      <c r="L100" s="5">
        <f t="shared" si="28"/>
        <v>293.01</v>
      </c>
      <c r="M100" s="5">
        <f t="shared" si="31"/>
        <v>298.60500000000008</v>
      </c>
      <c r="N100" s="5">
        <f t="shared" si="16"/>
        <v>313.35199999999998</v>
      </c>
      <c r="O100" s="5"/>
      <c r="P100" s="5">
        <f t="shared" si="23"/>
        <v>-6.8000000000000114</v>
      </c>
      <c r="Q100" s="5" t="str">
        <f t="shared" si="24"/>
        <v xml:space="preserve"> </v>
      </c>
      <c r="R100" s="5">
        <f t="shared" si="25"/>
        <v>-6.8000000000000114</v>
      </c>
      <c r="S100" s="8">
        <f t="shared" si="29"/>
        <v>1565.48</v>
      </c>
      <c r="T100" s="8">
        <f t="shared" si="32"/>
        <v>1584.6749999999997</v>
      </c>
      <c r="U100" s="8">
        <f t="shared" si="17"/>
        <v>1544.3860000000004</v>
      </c>
      <c r="V100" s="6"/>
      <c r="W100" s="8">
        <f t="shared" si="26"/>
        <v>51.599999999999909</v>
      </c>
      <c r="X100" s="6">
        <f t="shared" si="20"/>
        <v>51.599999999999909</v>
      </c>
      <c r="Y100" s="6" t="str">
        <f t="shared" si="21"/>
        <v xml:space="preserve"> </v>
      </c>
    </row>
    <row r="101" spans="1:25" x14ac:dyDescent="0.35">
      <c r="A101" s="13">
        <v>45810</v>
      </c>
      <c r="B101" s="15">
        <v>2026.2</v>
      </c>
      <c r="C101" s="11">
        <v>286.7</v>
      </c>
      <c r="D101" s="18">
        <v>1586.4</v>
      </c>
      <c r="E101" s="7">
        <f t="shared" si="27"/>
        <v>1982.5800000000004</v>
      </c>
      <c r="F101" s="7">
        <f t="shared" si="30"/>
        <v>2001.2549999999997</v>
      </c>
      <c r="G101" s="7">
        <f t="shared" si="15"/>
        <v>1998.5139999999999</v>
      </c>
      <c r="H101" s="4"/>
      <c r="I101" s="7">
        <f t="shared" si="22"/>
        <v>32.600000000000136</v>
      </c>
      <c r="J101" s="4">
        <f t="shared" si="18"/>
        <v>32.600000000000136</v>
      </c>
      <c r="K101" s="4" t="str">
        <f t="shared" si="19"/>
        <v xml:space="preserve"> </v>
      </c>
      <c r="L101" s="5">
        <f t="shared" si="28"/>
        <v>289.26000000000005</v>
      </c>
      <c r="M101" s="5">
        <f t="shared" si="31"/>
        <v>296.57000000000005</v>
      </c>
      <c r="N101" s="5">
        <f t="shared" si="16"/>
        <v>312.52800000000002</v>
      </c>
      <c r="O101" s="5"/>
      <c r="P101" s="5">
        <f t="shared" si="23"/>
        <v>2.8999999999999773</v>
      </c>
      <c r="Q101" s="5">
        <f t="shared" si="24"/>
        <v>2.8999999999999773</v>
      </c>
      <c r="R101" s="5" t="str">
        <f t="shared" si="25"/>
        <v xml:space="preserve"> </v>
      </c>
      <c r="S101" s="8">
        <f t="shared" si="29"/>
        <v>1554.3399999999997</v>
      </c>
      <c r="T101" s="8">
        <f t="shared" si="32"/>
        <v>1582.5949999999998</v>
      </c>
      <c r="U101" s="8">
        <f t="shared" si="17"/>
        <v>1546.4940000000001</v>
      </c>
      <c r="V101" s="6"/>
      <c r="W101" s="8">
        <f t="shared" si="26"/>
        <v>20.800000000000182</v>
      </c>
      <c r="X101" s="6">
        <f t="shared" si="20"/>
        <v>20.800000000000182</v>
      </c>
      <c r="Y101" s="6" t="str">
        <f t="shared" si="21"/>
        <v xml:space="preserve"> </v>
      </c>
    </row>
    <row r="102" spans="1:25" x14ac:dyDescent="0.35">
      <c r="A102" s="13">
        <v>45807</v>
      </c>
      <c r="B102" s="15">
        <v>2011.5</v>
      </c>
      <c r="C102" s="11">
        <v>286.2</v>
      </c>
      <c r="D102" s="18">
        <v>1597.5</v>
      </c>
      <c r="E102" s="7">
        <f t="shared" si="27"/>
        <v>1987.14</v>
      </c>
      <c r="F102" s="7">
        <f t="shared" si="30"/>
        <v>2000.03</v>
      </c>
      <c r="G102" s="7">
        <f t="shared" si="15"/>
        <v>2000.364</v>
      </c>
      <c r="H102" s="4"/>
      <c r="I102" s="7">
        <f t="shared" si="22"/>
        <v>-14.700000000000045</v>
      </c>
      <c r="J102" s="4" t="str">
        <f t="shared" si="18"/>
        <v xml:space="preserve"> </v>
      </c>
      <c r="K102" s="4">
        <f t="shared" si="19"/>
        <v>-14.700000000000045</v>
      </c>
      <c r="L102" s="5">
        <f t="shared" si="28"/>
        <v>287.68</v>
      </c>
      <c r="M102" s="5">
        <f t="shared" si="31"/>
        <v>294.65000000000003</v>
      </c>
      <c r="N102" s="5">
        <f t="shared" si="16"/>
        <v>311.83199999999999</v>
      </c>
      <c r="O102" s="5"/>
      <c r="P102" s="5">
        <f t="shared" si="23"/>
        <v>-0.5</v>
      </c>
      <c r="Q102" s="5" t="str">
        <f t="shared" si="24"/>
        <v xml:space="preserve"> </v>
      </c>
      <c r="R102" s="5">
        <f t="shared" si="25"/>
        <v>-0.5</v>
      </c>
      <c r="S102" s="8">
        <f t="shared" si="29"/>
        <v>1555.6399999999999</v>
      </c>
      <c r="T102" s="8">
        <f t="shared" si="32"/>
        <v>1579.8049999999998</v>
      </c>
      <c r="U102" s="8">
        <f t="shared" si="17"/>
        <v>1549.4240000000002</v>
      </c>
      <c r="V102" s="6"/>
      <c r="W102" s="8">
        <f t="shared" si="26"/>
        <v>11.099999999999909</v>
      </c>
      <c r="X102" s="6">
        <f t="shared" si="20"/>
        <v>11.099999999999909</v>
      </c>
      <c r="Y102" s="6" t="str">
        <f t="shared" si="21"/>
        <v xml:space="preserve"> </v>
      </c>
    </row>
    <row r="103" spans="1:25" x14ac:dyDescent="0.35">
      <c r="A103" s="13">
        <v>45806</v>
      </c>
      <c r="B103" s="15">
        <v>2015.1</v>
      </c>
      <c r="C103" s="11">
        <v>288.39999999999998</v>
      </c>
      <c r="D103" s="18">
        <v>1614.8</v>
      </c>
      <c r="E103" s="7">
        <f t="shared" si="27"/>
        <v>2001.1799999999998</v>
      </c>
      <c r="F103" s="7">
        <f t="shared" si="30"/>
        <v>1998.2849999999999</v>
      </c>
      <c r="G103" s="7">
        <f t="shared" si="15"/>
        <v>2002.2479999999998</v>
      </c>
      <c r="H103" s="4"/>
      <c r="I103" s="7">
        <f t="shared" si="22"/>
        <v>3.5999999999999091</v>
      </c>
      <c r="J103" s="4">
        <f t="shared" si="18"/>
        <v>3.5999999999999091</v>
      </c>
      <c r="K103" s="4" t="str">
        <f t="shared" si="19"/>
        <v xml:space="preserve"> </v>
      </c>
      <c r="L103" s="5">
        <f t="shared" si="28"/>
        <v>287.14000000000004</v>
      </c>
      <c r="M103" s="5">
        <f t="shared" si="31"/>
        <v>293.4425</v>
      </c>
      <c r="N103" s="5">
        <f t="shared" si="16"/>
        <v>311.05200000000002</v>
      </c>
      <c r="O103" s="5"/>
      <c r="P103" s="5">
        <f t="shared" si="23"/>
        <v>2.1999999999999886</v>
      </c>
      <c r="Q103" s="5">
        <f t="shared" si="24"/>
        <v>2.1999999999999886</v>
      </c>
      <c r="R103" s="5" t="str">
        <f t="shared" si="25"/>
        <v xml:space="preserve"> </v>
      </c>
      <c r="S103" s="8">
        <f t="shared" si="29"/>
        <v>1575.66</v>
      </c>
      <c r="T103" s="8">
        <f t="shared" si="32"/>
        <v>1579.2949999999996</v>
      </c>
      <c r="U103" s="8">
        <f t="shared" si="17"/>
        <v>1551.96</v>
      </c>
      <c r="V103" s="6"/>
      <c r="W103" s="8">
        <f t="shared" si="26"/>
        <v>17.299999999999955</v>
      </c>
      <c r="X103" s="6">
        <f t="shared" si="20"/>
        <v>17.299999999999955</v>
      </c>
      <c r="Y103" s="6" t="str">
        <f t="shared" si="21"/>
        <v xml:space="preserve"> </v>
      </c>
    </row>
    <row r="104" spans="1:25" x14ac:dyDescent="0.35">
      <c r="A104" s="13">
        <v>45805</v>
      </c>
      <c r="B104" s="15">
        <v>2020.9</v>
      </c>
      <c r="C104" s="11">
        <v>289.5</v>
      </c>
      <c r="D104" s="18">
        <v>1646.6</v>
      </c>
      <c r="E104" s="7">
        <f t="shared" si="27"/>
        <v>2013.4599999999998</v>
      </c>
      <c r="F104" s="7">
        <f t="shared" si="30"/>
        <v>1998.61</v>
      </c>
      <c r="G104" s="7">
        <f t="shared" si="15"/>
        <v>2004.1459999999997</v>
      </c>
      <c r="H104" s="4"/>
      <c r="I104" s="7">
        <f t="shared" si="22"/>
        <v>5.8000000000001819</v>
      </c>
      <c r="J104" s="4">
        <f t="shared" si="18"/>
        <v>5.8000000000001819</v>
      </c>
      <c r="K104" s="4" t="str">
        <f t="shared" si="19"/>
        <v xml:space="preserve"> </v>
      </c>
      <c r="L104" s="5">
        <f t="shared" si="28"/>
        <v>286.91999999999996</v>
      </c>
      <c r="M104" s="5">
        <f t="shared" si="31"/>
        <v>292.74249999999995</v>
      </c>
      <c r="N104" s="5">
        <f t="shared" si="16"/>
        <v>310.32200000000006</v>
      </c>
      <c r="O104" s="5"/>
      <c r="P104" s="5">
        <f t="shared" si="23"/>
        <v>1.1000000000000227</v>
      </c>
      <c r="Q104" s="5">
        <f t="shared" si="24"/>
        <v>1.1000000000000227</v>
      </c>
      <c r="R104" s="5" t="str">
        <f t="shared" si="25"/>
        <v xml:space="preserve"> </v>
      </c>
      <c r="S104" s="8">
        <f t="shared" si="29"/>
        <v>1602.1799999999998</v>
      </c>
      <c r="T104" s="8">
        <f t="shared" si="32"/>
        <v>1581.4249999999997</v>
      </c>
      <c r="U104" s="8">
        <f t="shared" si="17"/>
        <v>1555.7940000000003</v>
      </c>
      <c r="V104" s="6"/>
      <c r="W104" s="8">
        <f t="shared" si="26"/>
        <v>31.799999999999955</v>
      </c>
      <c r="X104" s="6">
        <f t="shared" si="20"/>
        <v>31.799999999999955</v>
      </c>
      <c r="Y104" s="6" t="str">
        <f t="shared" si="21"/>
        <v xml:space="preserve"> </v>
      </c>
    </row>
    <row r="105" spans="1:25" x14ac:dyDescent="0.35">
      <c r="A105" s="13">
        <v>45804</v>
      </c>
      <c r="B105" s="15">
        <v>2035</v>
      </c>
      <c r="C105" s="11">
        <v>292.64999999999998</v>
      </c>
      <c r="D105" s="18">
        <v>1664.9</v>
      </c>
      <c r="E105" s="7">
        <f t="shared" si="27"/>
        <v>2021.7399999999998</v>
      </c>
      <c r="F105" s="7">
        <f t="shared" si="30"/>
        <v>1999.9600000000003</v>
      </c>
      <c r="G105" s="7">
        <f t="shared" si="15"/>
        <v>2006.0060000000001</v>
      </c>
      <c r="H105" s="4"/>
      <c r="I105" s="7">
        <f t="shared" si="22"/>
        <v>14.099999999999909</v>
      </c>
      <c r="J105" s="4">
        <f t="shared" si="18"/>
        <v>14.099999999999909</v>
      </c>
      <c r="K105" s="4" t="str">
        <f t="shared" si="19"/>
        <v xml:space="preserve"> </v>
      </c>
      <c r="L105" s="5">
        <f t="shared" si="28"/>
        <v>288.68999999999994</v>
      </c>
      <c r="M105" s="5">
        <f t="shared" si="31"/>
        <v>292.29999999999995</v>
      </c>
      <c r="N105" s="5">
        <f t="shared" si="16"/>
        <v>309.52300000000002</v>
      </c>
      <c r="O105" s="5"/>
      <c r="P105" s="5">
        <f t="shared" si="23"/>
        <v>3.1499999999999773</v>
      </c>
      <c r="Q105" s="5">
        <f t="shared" si="24"/>
        <v>3.1499999999999773</v>
      </c>
      <c r="R105" s="5" t="str">
        <f t="shared" si="25"/>
        <v xml:space="preserve"> </v>
      </c>
      <c r="S105" s="8">
        <f t="shared" si="29"/>
        <v>1622.0399999999997</v>
      </c>
      <c r="T105" s="8">
        <f t="shared" si="32"/>
        <v>1584.5250000000001</v>
      </c>
      <c r="U105" s="8">
        <f t="shared" si="17"/>
        <v>1559.6760000000002</v>
      </c>
      <c r="V105" s="6"/>
      <c r="W105" s="8">
        <f t="shared" si="26"/>
        <v>18.300000000000182</v>
      </c>
      <c r="X105" s="6">
        <f t="shared" si="20"/>
        <v>18.300000000000182</v>
      </c>
      <c r="Y105" s="6" t="str">
        <f t="shared" si="21"/>
        <v xml:space="preserve"> </v>
      </c>
    </row>
    <row r="106" spans="1:25" x14ac:dyDescent="0.35">
      <c r="A106" s="13">
        <v>45803</v>
      </c>
      <c r="B106" s="15">
        <v>2050.9</v>
      </c>
      <c r="C106" s="11">
        <v>281.5</v>
      </c>
      <c r="D106" s="18">
        <v>1646.8</v>
      </c>
      <c r="E106" s="7">
        <f t="shared" si="27"/>
        <v>2026.6799999999998</v>
      </c>
      <c r="F106" s="7">
        <f t="shared" si="30"/>
        <v>2002.7550000000003</v>
      </c>
      <c r="G106" s="7">
        <f t="shared" si="15"/>
        <v>2008.384</v>
      </c>
      <c r="H106" s="4"/>
      <c r="I106" s="7">
        <f t="shared" si="22"/>
        <v>15.900000000000091</v>
      </c>
      <c r="J106" s="4">
        <f t="shared" si="18"/>
        <v>15.900000000000091</v>
      </c>
      <c r="K106" s="4" t="str">
        <f t="shared" si="19"/>
        <v xml:space="preserve"> </v>
      </c>
      <c r="L106" s="5">
        <f t="shared" si="28"/>
        <v>287.64999999999998</v>
      </c>
      <c r="M106" s="5">
        <f t="shared" si="31"/>
        <v>291.71499999999992</v>
      </c>
      <c r="N106" s="5">
        <f t="shared" si="16"/>
        <v>308.45600000000002</v>
      </c>
      <c r="O106" s="5"/>
      <c r="P106" s="5">
        <f t="shared" si="23"/>
        <v>-11.149999999999977</v>
      </c>
      <c r="Q106" s="5" t="str">
        <f t="shared" si="24"/>
        <v xml:space="preserve"> </v>
      </c>
      <c r="R106" s="5">
        <f t="shared" si="25"/>
        <v>-11.149999999999977</v>
      </c>
      <c r="S106" s="8">
        <f t="shared" si="29"/>
        <v>1634.12</v>
      </c>
      <c r="T106" s="8">
        <f t="shared" si="32"/>
        <v>1588</v>
      </c>
      <c r="U106" s="8">
        <f t="shared" si="17"/>
        <v>1563.192</v>
      </c>
      <c r="V106" s="6"/>
      <c r="W106" s="8">
        <f t="shared" si="26"/>
        <v>-18.100000000000136</v>
      </c>
      <c r="X106" s="6" t="str">
        <f t="shared" si="20"/>
        <v xml:space="preserve"> </v>
      </c>
      <c r="Y106" s="6">
        <f t="shared" si="21"/>
        <v>-18.100000000000136</v>
      </c>
    </row>
    <row r="107" spans="1:25" x14ac:dyDescent="0.35">
      <c r="A107" s="13">
        <v>45800</v>
      </c>
      <c r="B107" s="15">
        <v>2040</v>
      </c>
      <c r="C107" s="11">
        <v>281.39999999999998</v>
      </c>
      <c r="D107" s="18">
        <v>1626.7</v>
      </c>
      <c r="E107" s="7">
        <f t="shared" si="27"/>
        <v>2032.3799999999999</v>
      </c>
      <c r="F107" s="7">
        <f t="shared" si="30"/>
        <v>2005.9150000000002</v>
      </c>
      <c r="G107" s="7">
        <f t="shared" si="15"/>
        <v>2010.7839999999997</v>
      </c>
      <c r="H107" s="4"/>
      <c r="I107" s="7">
        <f t="shared" si="22"/>
        <v>-10.900000000000091</v>
      </c>
      <c r="J107" s="4" t="str">
        <f t="shared" si="18"/>
        <v xml:space="preserve"> </v>
      </c>
      <c r="K107" s="4">
        <f t="shared" si="19"/>
        <v>-10.900000000000091</v>
      </c>
      <c r="L107" s="5">
        <f t="shared" si="28"/>
        <v>286.68999999999994</v>
      </c>
      <c r="M107" s="5">
        <f t="shared" si="31"/>
        <v>291.10999999999996</v>
      </c>
      <c r="N107" s="5">
        <f t="shared" si="16"/>
        <v>307.48700000000002</v>
      </c>
      <c r="O107" s="5"/>
      <c r="P107" s="5">
        <f t="shared" si="23"/>
        <v>-0.10000000000002274</v>
      </c>
      <c r="Q107" s="5" t="str">
        <f t="shared" si="24"/>
        <v xml:space="preserve"> </v>
      </c>
      <c r="R107" s="5">
        <f t="shared" si="25"/>
        <v>-0.10000000000002274</v>
      </c>
      <c r="S107" s="8">
        <f t="shared" si="29"/>
        <v>1639.9599999999998</v>
      </c>
      <c r="T107" s="8">
        <f t="shared" si="32"/>
        <v>1591.83</v>
      </c>
      <c r="U107" s="8">
        <f t="shared" si="17"/>
        <v>1567.316</v>
      </c>
      <c r="V107" s="6"/>
      <c r="W107" s="8">
        <f t="shared" si="26"/>
        <v>-20.099999999999909</v>
      </c>
      <c r="X107" s="6" t="str">
        <f t="shared" si="20"/>
        <v xml:space="preserve"> </v>
      </c>
      <c r="Y107" s="6">
        <f t="shared" si="21"/>
        <v>-20.099999999999909</v>
      </c>
    </row>
    <row r="108" spans="1:25" x14ac:dyDescent="0.35">
      <c r="A108" s="13">
        <v>45799</v>
      </c>
      <c r="B108" s="15">
        <v>2003.8</v>
      </c>
      <c r="C108" s="11">
        <v>274.8</v>
      </c>
      <c r="D108" s="18">
        <v>1628.2</v>
      </c>
      <c r="E108" s="7">
        <f t="shared" si="27"/>
        <v>2030.1200000000001</v>
      </c>
      <c r="F108" s="7">
        <f t="shared" si="30"/>
        <v>2008.2350000000001</v>
      </c>
      <c r="G108" s="7">
        <f t="shared" si="15"/>
        <v>2011.8199999999997</v>
      </c>
      <c r="H108" s="4"/>
      <c r="I108" s="7">
        <f t="shared" si="22"/>
        <v>-36.200000000000045</v>
      </c>
      <c r="J108" s="4" t="str">
        <f t="shared" si="18"/>
        <v xml:space="preserve"> </v>
      </c>
      <c r="K108" s="4">
        <f t="shared" si="19"/>
        <v>-36.200000000000045</v>
      </c>
      <c r="L108" s="5">
        <f t="shared" si="28"/>
        <v>283.96999999999997</v>
      </c>
      <c r="M108" s="5">
        <f t="shared" si="31"/>
        <v>290.69999999999993</v>
      </c>
      <c r="N108" s="5">
        <f t="shared" si="16"/>
        <v>306.40300000000002</v>
      </c>
      <c r="O108" s="5"/>
      <c r="P108" s="5">
        <f t="shared" si="23"/>
        <v>-6.5999999999999659</v>
      </c>
      <c r="Q108" s="5" t="str">
        <f t="shared" si="24"/>
        <v xml:space="preserve"> </v>
      </c>
      <c r="R108" s="5">
        <f t="shared" si="25"/>
        <v>-6.5999999999999659</v>
      </c>
      <c r="S108" s="8">
        <f t="shared" si="29"/>
        <v>1642.64</v>
      </c>
      <c r="T108" s="8">
        <f t="shared" si="32"/>
        <v>1595.94</v>
      </c>
      <c r="U108" s="8">
        <f t="shared" si="17"/>
        <v>1571.1679999999999</v>
      </c>
      <c r="V108" s="6"/>
      <c r="W108" s="8">
        <f t="shared" si="26"/>
        <v>1.5</v>
      </c>
      <c r="X108" s="6">
        <f t="shared" si="20"/>
        <v>1.5</v>
      </c>
      <c r="Y108" s="6" t="str">
        <f t="shared" si="21"/>
        <v xml:space="preserve"> </v>
      </c>
    </row>
    <row r="109" spans="1:25" x14ac:dyDescent="0.35">
      <c r="A109" s="13">
        <v>45798</v>
      </c>
      <c r="B109" s="15">
        <v>2034.3</v>
      </c>
      <c r="C109" s="11">
        <v>274.55</v>
      </c>
      <c r="D109" s="18">
        <v>1652</v>
      </c>
      <c r="E109" s="7">
        <f t="shared" si="27"/>
        <v>2032.8</v>
      </c>
      <c r="F109" s="7">
        <f t="shared" si="30"/>
        <v>2011.0000000000005</v>
      </c>
      <c r="G109" s="7">
        <f t="shared" si="15"/>
        <v>2013.306</v>
      </c>
      <c r="H109" s="4"/>
      <c r="I109" s="7">
        <f t="shared" si="22"/>
        <v>30.5</v>
      </c>
      <c r="J109" s="4">
        <f t="shared" si="18"/>
        <v>30.5</v>
      </c>
      <c r="K109" s="4" t="str">
        <f t="shared" si="19"/>
        <v xml:space="preserve"> </v>
      </c>
      <c r="L109" s="5">
        <f t="shared" si="28"/>
        <v>280.97999999999996</v>
      </c>
      <c r="M109" s="5">
        <f t="shared" si="31"/>
        <v>290.03999999999996</v>
      </c>
      <c r="N109" s="5">
        <f t="shared" si="16"/>
        <v>305.49400000000003</v>
      </c>
      <c r="O109" s="5"/>
      <c r="P109" s="5">
        <f t="shared" si="23"/>
        <v>-0.25</v>
      </c>
      <c r="Q109" s="5" t="str">
        <f t="shared" si="24"/>
        <v xml:space="preserve"> </v>
      </c>
      <c r="R109" s="5">
        <f t="shared" si="25"/>
        <v>-0.25</v>
      </c>
      <c r="S109" s="8">
        <f t="shared" si="29"/>
        <v>1643.7199999999998</v>
      </c>
      <c r="T109" s="8">
        <f t="shared" si="32"/>
        <v>1599.2400000000002</v>
      </c>
      <c r="U109" s="8">
        <f t="shared" si="17"/>
        <v>1574.6079999999999</v>
      </c>
      <c r="V109" s="6"/>
      <c r="W109" s="8">
        <f t="shared" si="26"/>
        <v>23.799999999999955</v>
      </c>
      <c r="X109" s="6">
        <f t="shared" si="20"/>
        <v>23.799999999999955</v>
      </c>
      <c r="Y109" s="6" t="str">
        <f t="shared" si="21"/>
        <v xml:space="preserve"> </v>
      </c>
    </row>
    <row r="110" spans="1:25" x14ac:dyDescent="0.35">
      <c r="A110" s="13">
        <v>45797</v>
      </c>
      <c r="B110" s="15">
        <v>2004</v>
      </c>
      <c r="C110" s="11">
        <v>271.7</v>
      </c>
      <c r="D110" s="18">
        <v>1611</v>
      </c>
      <c r="E110" s="7">
        <f t="shared" si="27"/>
        <v>2026.6</v>
      </c>
      <c r="F110" s="7">
        <f t="shared" si="30"/>
        <v>2011.1500000000003</v>
      </c>
      <c r="G110" s="7">
        <f t="shared" si="15"/>
        <v>2013.9160000000002</v>
      </c>
      <c r="H110" s="4"/>
      <c r="I110" s="7">
        <f t="shared" si="22"/>
        <v>-30.299999999999955</v>
      </c>
      <c r="J110" s="4" t="str">
        <f t="shared" si="18"/>
        <v xml:space="preserve"> </v>
      </c>
      <c r="K110" s="4">
        <f t="shared" si="19"/>
        <v>-30.299999999999955</v>
      </c>
      <c r="L110" s="5">
        <f t="shared" si="28"/>
        <v>276.79000000000002</v>
      </c>
      <c r="M110" s="5">
        <f t="shared" si="31"/>
        <v>289.13499999999999</v>
      </c>
      <c r="N110" s="5">
        <f t="shared" si="16"/>
        <v>304.48800000000006</v>
      </c>
      <c r="O110" s="5"/>
      <c r="P110" s="5">
        <f t="shared" si="23"/>
        <v>-2.8500000000000227</v>
      </c>
      <c r="Q110" s="5" t="str">
        <f t="shared" si="24"/>
        <v xml:space="preserve"> </v>
      </c>
      <c r="R110" s="5">
        <f t="shared" si="25"/>
        <v>-2.8500000000000227</v>
      </c>
      <c r="S110" s="8">
        <f t="shared" si="29"/>
        <v>1632.94</v>
      </c>
      <c r="T110" s="8">
        <f t="shared" si="32"/>
        <v>1602.14</v>
      </c>
      <c r="U110" s="8">
        <f t="shared" si="17"/>
        <v>1577.1340000000002</v>
      </c>
      <c r="V110" s="6"/>
      <c r="W110" s="8">
        <f t="shared" si="26"/>
        <v>-41</v>
      </c>
      <c r="X110" s="6" t="str">
        <f t="shared" si="20"/>
        <v xml:space="preserve"> </v>
      </c>
      <c r="Y110" s="6">
        <f t="shared" si="21"/>
        <v>-41</v>
      </c>
    </row>
    <row r="111" spans="1:25" x14ac:dyDescent="0.35">
      <c r="A111" s="13">
        <v>45796</v>
      </c>
      <c r="B111" s="15">
        <v>2037.2</v>
      </c>
      <c r="C111" s="11">
        <v>276.85000000000002</v>
      </c>
      <c r="D111" s="18">
        <v>1635</v>
      </c>
      <c r="E111" s="7">
        <f t="shared" si="27"/>
        <v>2023.8600000000001</v>
      </c>
      <c r="F111" s="7">
        <f t="shared" si="30"/>
        <v>2011.6600000000003</v>
      </c>
      <c r="G111" s="7">
        <f t="shared" si="15"/>
        <v>2015.1419999999998</v>
      </c>
      <c r="H111" s="4"/>
      <c r="I111" s="7">
        <f t="shared" si="22"/>
        <v>33.200000000000045</v>
      </c>
      <c r="J111" s="4">
        <f t="shared" si="18"/>
        <v>33.200000000000045</v>
      </c>
      <c r="K111" s="4" t="str">
        <f t="shared" si="19"/>
        <v xml:space="preserve"> </v>
      </c>
      <c r="L111" s="5">
        <f t="shared" si="28"/>
        <v>275.86</v>
      </c>
      <c r="M111" s="5">
        <f t="shared" si="31"/>
        <v>288.27750000000003</v>
      </c>
      <c r="N111" s="5">
        <f t="shared" si="16"/>
        <v>303.875</v>
      </c>
      <c r="O111" s="5"/>
      <c r="P111" s="5">
        <f t="shared" si="23"/>
        <v>5.1500000000000341</v>
      </c>
      <c r="Q111" s="5">
        <f t="shared" si="24"/>
        <v>5.1500000000000341</v>
      </c>
      <c r="R111" s="5" t="str">
        <f t="shared" si="25"/>
        <v xml:space="preserve"> </v>
      </c>
      <c r="S111" s="8">
        <f t="shared" si="29"/>
        <v>1630.58</v>
      </c>
      <c r="T111" s="8">
        <f t="shared" si="32"/>
        <v>1605.5900000000001</v>
      </c>
      <c r="U111" s="8">
        <f t="shared" si="17"/>
        <v>1580.02</v>
      </c>
      <c r="V111" s="6"/>
      <c r="W111" s="8">
        <f t="shared" si="26"/>
        <v>24</v>
      </c>
      <c r="X111" s="6">
        <f t="shared" si="20"/>
        <v>24</v>
      </c>
      <c r="Y111" s="6" t="str">
        <f t="shared" si="21"/>
        <v xml:space="preserve"> </v>
      </c>
    </row>
    <row r="112" spans="1:25" x14ac:dyDescent="0.35">
      <c r="A112" s="13">
        <v>45793</v>
      </c>
      <c r="B112" s="15">
        <v>2036</v>
      </c>
      <c r="C112" s="11">
        <v>276.3</v>
      </c>
      <c r="D112" s="18">
        <v>1615</v>
      </c>
      <c r="E112" s="7">
        <f t="shared" si="27"/>
        <v>2023.06</v>
      </c>
      <c r="F112" s="7">
        <f t="shared" si="30"/>
        <v>2012.7099999999998</v>
      </c>
      <c r="G112" s="7">
        <f t="shared" si="15"/>
        <v>2016.154</v>
      </c>
      <c r="H112" s="4"/>
      <c r="I112" s="7">
        <f t="shared" si="22"/>
        <v>-1.2000000000000455</v>
      </c>
      <c r="J112" s="4" t="str">
        <f t="shared" si="18"/>
        <v xml:space="preserve"> </v>
      </c>
      <c r="K112" s="4">
        <f t="shared" si="19"/>
        <v>-1.2000000000000455</v>
      </c>
      <c r="L112" s="5">
        <f t="shared" si="28"/>
        <v>274.84000000000003</v>
      </c>
      <c r="M112" s="5">
        <f t="shared" si="31"/>
        <v>287.33749999999998</v>
      </c>
      <c r="N112" s="5">
        <f t="shared" si="16"/>
        <v>303.17899999999997</v>
      </c>
      <c r="O112" s="5"/>
      <c r="P112" s="5">
        <f t="shared" si="23"/>
        <v>-0.55000000000001137</v>
      </c>
      <c r="Q112" s="5" t="str">
        <f t="shared" si="24"/>
        <v xml:space="preserve"> </v>
      </c>
      <c r="R112" s="5">
        <f t="shared" si="25"/>
        <v>-0.55000000000001137</v>
      </c>
      <c r="S112" s="8">
        <f t="shared" si="29"/>
        <v>1628.24</v>
      </c>
      <c r="T112" s="8">
        <f t="shared" si="32"/>
        <v>1608.5900000000001</v>
      </c>
      <c r="U112" s="8">
        <f t="shared" si="17"/>
        <v>1582.2419999999997</v>
      </c>
      <c r="V112" s="6"/>
      <c r="W112" s="8">
        <f t="shared" si="26"/>
        <v>-20</v>
      </c>
      <c r="X112" s="6" t="str">
        <f t="shared" si="20"/>
        <v xml:space="preserve"> </v>
      </c>
      <c r="Y112" s="6">
        <f t="shared" si="21"/>
        <v>-20</v>
      </c>
    </row>
    <row r="113" spans="1:25" x14ac:dyDescent="0.35">
      <c r="A113" s="13">
        <v>45792</v>
      </c>
      <c r="B113" s="15">
        <v>2042</v>
      </c>
      <c r="C113" s="11">
        <v>274.05</v>
      </c>
      <c r="D113" s="18">
        <v>1610</v>
      </c>
      <c r="E113" s="7">
        <f t="shared" si="27"/>
        <v>2030.7</v>
      </c>
      <c r="F113" s="7">
        <f t="shared" si="30"/>
        <v>2013.7049999999999</v>
      </c>
      <c r="G113" s="7">
        <f t="shared" si="15"/>
        <v>2016.394</v>
      </c>
      <c r="H113" s="4"/>
      <c r="I113" s="7">
        <f t="shared" si="22"/>
        <v>6</v>
      </c>
      <c r="J113" s="4">
        <f t="shared" si="18"/>
        <v>6</v>
      </c>
      <c r="K113" s="4" t="str">
        <f t="shared" si="19"/>
        <v xml:space="preserve"> </v>
      </c>
      <c r="L113" s="5">
        <f t="shared" si="28"/>
        <v>274.69</v>
      </c>
      <c r="M113" s="5">
        <f t="shared" si="31"/>
        <v>286.23250000000002</v>
      </c>
      <c r="N113" s="5">
        <f t="shared" si="16"/>
        <v>302.33</v>
      </c>
      <c r="O113" s="5"/>
      <c r="P113" s="5">
        <f t="shared" si="23"/>
        <v>-2.25</v>
      </c>
      <c r="Q113" s="5" t="str">
        <f t="shared" si="24"/>
        <v xml:space="preserve"> </v>
      </c>
      <c r="R113" s="5">
        <f t="shared" si="25"/>
        <v>-2.25</v>
      </c>
      <c r="S113" s="8">
        <f t="shared" si="29"/>
        <v>1624.6</v>
      </c>
      <c r="T113" s="8">
        <f t="shared" si="32"/>
        <v>1610.0700000000002</v>
      </c>
      <c r="U113" s="8">
        <f t="shared" si="17"/>
        <v>1583.4019999999998</v>
      </c>
      <c r="V113" s="6"/>
      <c r="W113" s="8">
        <f t="shared" si="26"/>
        <v>-5</v>
      </c>
      <c r="X113" s="6" t="str">
        <f t="shared" si="20"/>
        <v xml:space="preserve"> </v>
      </c>
      <c r="Y113" s="6">
        <f t="shared" si="21"/>
        <v>-5</v>
      </c>
    </row>
    <row r="114" spans="1:25" x14ac:dyDescent="0.35">
      <c r="A114" s="13">
        <v>45791</v>
      </c>
      <c r="B114" s="15">
        <v>2019.9</v>
      </c>
      <c r="C114" s="11">
        <v>267.8</v>
      </c>
      <c r="D114" s="18">
        <v>1599</v>
      </c>
      <c r="E114" s="7">
        <f t="shared" si="27"/>
        <v>2027.8200000000002</v>
      </c>
      <c r="F114" s="7">
        <f t="shared" si="30"/>
        <v>2014.1</v>
      </c>
      <c r="G114" s="7">
        <f t="shared" si="15"/>
        <v>2015.5719999999999</v>
      </c>
      <c r="H114" s="4"/>
      <c r="I114" s="7">
        <f t="shared" si="22"/>
        <v>-22.099999999999909</v>
      </c>
      <c r="J114" s="4" t="str">
        <f t="shared" si="18"/>
        <v xml:space="preserve"> </v>
      </c>
      <c r="K114" s="4">
        <f t="shared" si="19"/>
        <v>-22.099999999999909</v>
      </c>
      <c r="L114" s="5">
        <f t="shared" si="28"/>
        <v>273.33999999999997</v>
      </c>
      <c r="M114" s="5">
        <f t="shared" si="31"/>
        <v>284.49250000000006</v>
      </c>
      <c r="N114" s="5">
        <f t="shared" si="16"/>
        <v>301.38599999999997</v>
      </c>
      <c r="O114" s="5"/>
      <c r="P114" s="5">
        <f t="shared" si="23"/>
        <v>-6.25</v>
      </c>
      <c r="Q114" s="5" t="str">
        <f t="shared" si="24"/>
        <v xml:space="preserve"> </v>
      </c>
      <c r="R114" s="5">
        <f t="shared" si="25"/>
        <v>-6.25</v>
      </c>
      <c r="S114" s="8">
        <f t="shared" si="29"/>
        <v>1614</v>
      </c>
      <c r="T114" s="8">
        <f t="shared" si="32"/>
        <v>1609.5700000000002</v>
      </c>
      <c r="U114" s="8">
        <f t="shared" si="17"/>
        <v>1584.2339999999999</v>
      </c>
      <c r="V114" s="6"/>
      <c r="W114" s="8">
        <f t="shared" si="26"/>
        <v>-11</v>
      </c>
      <c r="X114" s="6" t="str">
        <f t="shared" si="20"/>
        <v xml:space="preserve"> </v>
      </c>
      <c r="Y114" s="6">
        <f t="shared" si="21"/>
        <v>-11</v>
      </c>
    </row>
    <row r="115" spans="1:25" x14ac:dyDescent="0.35">
      <c r="A115" s="13">
        <v>45790</v>
      </c>
      <c r="B115" s="15">
        <v>2022.9</v>
      </c>
      <c r="C115" s="11">
        <v>267.7</v>
      </c>
      <c r="D115" s="18">
        <v>1579.6</v>
      </c>
      <c r="E115" s="7">
        <f t="shared" si="27"/>
        <v>2031.6</v>
      </c>
      <c r="F115" s="7">
        <f t="shared" si="30"/>
        <v>2015.3700000000003</v>
      </c>
      <c r="G115" s="7">
        <f t="shared" si="15"/>
        <v>2015.2699999999998</v>
      </c>
      <c r="H115" s="4"/>
      <c r="I115" s="7">
        <f t="shared" si="22"/>
        <v>3</v>
      </c>
      <c r="J115" s="4">
        <f t="shared" si="18"/>
        <v>3</v>
      </c>
      <c r="K115" s="4" t="str">
        <f t="shared" si="19"/>
        <v xml:space="preserve"> </v>
      </c>
      <c r="L115" s="5">
        <f t="shared" si="28"/>
        <v>272.54000000000002</v>
      </c>
      <c r="M115" s="5">
        <f t="shared" si="31"/>
        <v>282.75750000000005</v>
      </c>
      <c r="N115" s="5">
        <f t="shared" si="16"/>
        <v>300.52</v>
      </c>
      <c r="O115" s="5"/>
      <c r="P115" s="5">
        <f t="shared" si="23"/>
        <v>-0.10000000000002274</v>
      </c>
      <c r="Q115" s="5" t="str">
        <f t="shared" si="24"/>
        <v xml:space="preserve"> </v>
      </c>
      <c r="R115" s="5">
        <f t="shared" si="25"/>
        <v>-0.10000000000002274</v>
      </c>
      <c r="S115" s="8">
        <f t="shared" si="29"/>
        <v>1607.72</v>
      </c>
      <c r="T115" s="8">
        <f t="shared" si="32"/>
        <v>1607.0449999999998</v>
      </c>
      <c r="U115" s="8">
        <f t="shared" si="17"/>
        <v>1584.5400000000002</v>
      </c>
      <c r="V115" s="6"/>
      <c r="W115" s="8">
        <f t="shared" si="26"/>
        <v>-19.400000000000091</v>
      </c>
      <c r="X115" s="6" t="str">
        <f t="shared" si="20"/>
        <v xml:space="preserve"> </v>
      </c>
      <c r="Y115" s="6">
        <f t="shared" si="21"/>
        <v>-19.400000000000091</v>
      </c>
    </row>
    <row r="116" spans="1:25" x14ac:dyDescent="0.35">
      <c r="A116" s="13">
        <v>45789</v>
      </c>
      <c r="B116" s="15">
        <v>2048</v>
      </c>
      <c r="C116" s="11">
        <v>263</v>
      </c>
      <c r="D116" s="18">
        <v>1577</v>
      </c>
      <c r="E116" s="7">
        <f t="shared" si="27"/>
        <v>2033.7599999999998</v>
      </c>
      <c r="F116" s="7">
        <f t="shared" si="30"/>
        <v>2016.7200000000005</v>
      </c>
      <c r="G116" s="7">
        <f t="shared" ref="G116:G179" si="33">AVERAGE(B67:B116)</f>
        <v>2015.1699999999996</v>
      </c>
      <c r="H116" s="4"/>
      <c r="I116" s="7">
        <f t="shared" si="22"/>
        <v>25.099999999999909</v>
      </c>
      <c r="J116" s="4">
        <f t="shared" si="18"/>
        <v>25.099999999999909</v>
      </c>
      <c r="K116" s="4" t="str">
        <f t="shared" si="19"/>
        <v xml:space="preserve"> </v>
      </c>
      <c r="L116" s="5">
        <f t="shared" si="28"/>
        <v>269.77000000000004</v>
      </c>
      <c r="M116" s="5">
        <f t="shared" si="31"/>
        <v>280.63500000000005</v>
      </c>
      <c r="N116" s="5">
        <f t="shared" ref="N116:N179" si="34">AVERAGE(C67:C116)</f>
        <v>299.42200000000003</v>
      </c>
      <c r="O116" s="5"/>
      <c r="P116" s="5">
        <f t="shared" si="23"/>
        <v>-4.6999999999999886</v>
      </c>
      <c r="Q116" s="5" t="str">
        <f t="shared" si="24"/>
        <v xml:space="preserve"> </v>
      </c>
      <c r="R116" s="5">
        <f t="shared" si="25"/>
        <v>-4.6999999999999886</v>
      </c>
      <c r="S116" s="8">
        <f t="shared" si="29"/>
        <v>1596.1200000000001</v>
      </c>
      <c r="T116" s="8">
        <f t="shared" si="32"/>
        <v>1603.7899999999997</v>
      </c>
      <c r="U116" s="8">
        <f t="shared" ref="U116:U179" si="35">AVERAGE(D67:D116)</f>
        <v>1584.662</v>
      </c>
      <c r="V116" s="6"/>
      <c r="W116" s="8">
        <f t="shared" si="26"/>
        <v>-2.5999999999999091</v>
      </c>
      <c r="X116" s="6" t="str">
        <f t="shared" si="20"/>
        <v xml:space="preserve"> </v>
      </c>
      <c r="Y116" s="6">
        <f t="shared" si="21"/>
        <v>-2.5999999999999091</v>
      </c>
    </row>
    <row r="117" spans="1:25" x14ac:dyDescent="0.35">
      <c r="A117" s="13">
        <v>45786</v>
      </c>
      <c r="B117" s="15">
        <v>1975</v>
      </c>
      <c r="C117" s="11">
        <v>249.2</v>
      </c>
      <c r="D117" s="18">
        <v>1520.3</v>
      </c>
      <c r="E117" s="7">
        <f t="shared" si="27"/>
        <v>2021.56</v>
      </c>
      <c r="F117" s="7">
        <f t="shared" si="30"/>
        <v>2016.0350000000003</v>
      </c>
      <c r="G117" s="7">
        <f t="shared" si="33"/>
        <v>2014.1279999999997</v>
      </c>
      <c r="H117" s="4"/>
      <c r="I117" s="7">
        <f t="shared" si="22"/>
        <v>-73</v>
      </c>
      <c r="J117" s="4" t="str">
        <f t="shared" si="18"/>
        <v xml:space="preserve"> </v>
      </c>
      <c r="K117" s="4">
        <f t="shared" si="19"/>
        <v>-73</v>
      </c>
      <c r="L117" s="5">
        <f t="shared" si="28"/>
        <v>264.35000000000002</v>
      </c>
      <c r="M117" s="5">
        <f t="shared" si="31"/>
        <v>278.39</v>
      </c>
      <c r="N117" s="5">
        <f t="shared" si="34"/>
        <v>298.07800000000003</v>
      </c>
      <c r="O117" s="5"/>
      <c r="P117" s="5">
        <f t="shared" si="23"/>
        <v>-13.800000000000011</v>
      </c>
      <c r="Q117" s="5" t="str">
        <f t="shared" si="24"/>
        <v xml:space="preserve"> </v>
      </c>
      <c r="R117" s="5">
        <f t="shared" si="25"/>
        <v>-13.800000000000011</v>
      </c>
      <c r="S117" s="8">
        <f t="shared" si="29"/>
        <v>1577.18</v>
      </c>
      <c r="T117" s="8">
        <f t="shared" si="32"/>
        <v>1600.2549999999997</v>
      </c>
      <c r="U117" s="8">
        <f t="shared" si="35"/>
        <v>1584.0619999999999</v>
      </c>
      <c r="V117" s="6"/>
      <c r="W117" s="8">
        <f t="shared" si="26"/>
        <v>-56.700000000000045</v>
      </c>
      <c r="X117" s="6" t="str">
        <f t="shared" si="20"/>
        <v xml:space="preserve"> </v>
      </c>
      <c r="Y117" s="6">
        <f t="shared" si="21"/>
        <v>-56.700000000000045</v>
      </c>
    </row>
    <row r="118" spans="1:25" x14ac:dyDescent="0.35">
      <c r="A118" s="13">
        <v>45785</v>
      </c>
      <c r="B118" s="15">
        <v>2000</v>
      </c>
      <c r="C118" s="11">
        <v>250.05</v>
      </c>
      <c r="D118" s="18">
        <v>1521.5</v>
      </c>
      <c r="E118" s="7">
        <f t="shared" si="27"/>
        <v>2013.1599999999999</v>
      </c>
      <c r="F118" s="7">
        <f t="shared" si="30"/>
        <v>2018.7899999999997</v>
      </c>
      <c r="G118" s="7">
        <f t="shared" si="33"/>
        <v>2013.6559999999995</v>
      </c>
      <c r="H118" s="4"/>
      <c r="I118" s="7">
        <f t="shared" si="22"/>
        <v>25</v>
      </c>
      <c r="J118" s="4">
        <f t="shared" si="18"/>
        <v>25</v>
      </c>
      <c r="K118" s="4" t="str">
        <f t="shared" si="19"/>
        <v xml:space="preserve"> </v>
      </c>
      <c r="L118" s="5">
        <f t="shared" si="28"/>
        <v>259.55</v>
      </c>
      <c r="M118" s="5">
        <f t="shared" si="31"/>
        <v>276.33750000000003</v>
      </c>
      <c r="N118" s="5">
        <f t="shared" si="34"/>
        <v>296.69900000000001</v>
      </c>
      <c r="O118" s="5"/>
      <c r="P118" s="5">
        <f t="shared" si="23"/>
        <v>0.85000000000002274</v>
      </c>
      <c r="Q118" s="5">
        <f t="shared" si="24"/>
        <v>0.85000000000002274</v>
      </c>
      <c r="R118" s="5" t="str">
        <f t="shared" si="25"/>
        <v xml:space="preserve"> </v>
      </c>
      <c r="S118" s="8">
        <f t="shared" si="29"/>
        <v>1559.48</v>
      </c>
      <c r="T118" s="8">
        <f t="shared" si="32"/>
        <v>1600.5949999999998</v>
      </c>
      <c r="U118" s="8">
        <f t="shared" si="35"/>
        <v>1583.2319999999997</v>
      </c>
      <c r="V118" s="6"/>
      <c r="W118" s="8">
        <f t="shared" si="26"/>
        <v>1.2000000000000455</v>
      </c>
      <c r="X118" s="6">
        <f t="shared" si="20"/>
        <v>1.2000000000000455</v>
      </c>
      <c r="Y118" s="6" t="str">
        <f t="shared" si="21"/>
        <v xml:space="preserve"> </v>
      </c>
    </row>
    <row r="119" spans="1:25" x14ac:dyDescent="0.35">
      <c r="A119" s="13">
        <v>45784</v>
      </c>
      <c r="B119" s="15">
        <v>2030.5</v>
      </c>
      <c r="C119" s="11">
        <v>256.5</v>
      </c>
      <c r="D119" s="18">
        <v>1575</v>
      </c>
      <c r="E119" s="7">
        <f t="shared" si="27"/>
        <v>2015.28</v>
      </c>
      <c r="F119" s="7">
        <f t="shared" si="30"/>
        <v>2022.3400000000001</v>
      </c>
      <c r="G119" s="7">
        <f t="shared" si="33"/>
        <v>2013.5439999999996</v>
      </c>
      <c r="H119" s="4"/>
      <c r="I119" s="7">
        <f t="shared" si="22"/>
        <v>30.5</v>
      </c>
      <c r="J119" s="4">
        <f t="shared" si="18"/>
        <v>30.5</v>
      </c>
      <c r="K119" s="4" t="str">
        <f t="shared" si="19"/>
        <v xml:space="preserve"> </v>
      </c>
      <c r="L119" s="5">
        <f t="shared" si="28"/>
        <v>257.29000000000002</v>
      </c>
      <c r="M119" s="5">
        <f t="shared" si="31"/>
        <v>274.63250000000005</v>
      </c>
      <c r="N119" s="5">
        <f t="shared" si="34"/>
        <v>295.44499999999999</v>
      </c>
      <c r="O119" s="5"/>
      <c r="P119" s="5">
        <f t="shared" si="23"/>
        <v>6.4499999999999886</v>
      </c>
      <c r="Q119" s="5">
        <f t="shared" si="24"/>
        <v>6.4499999999999886</v>
      </c>
      <c r="R119" s="5" t="str">
        <f t="shared" si="25"/>
        <v xml:space="preserve"> </v>
      </c>
      <c r="S119" s="8">
        <f t="shared" si="29"/>
        <v>1554.6799999999998</v>
      </c>
      <c r="T119" s="8">
        <f t="shared" si="32"/>
        <v>1603.645</v>
      </c>
      <c r="U119" s="8">
        <f t="shared" si="35"/>
        <v>1583.5820000000001</v>
      </c>
      <c r="V119" s="6"/>
      <c r="W119" s="8">
        <f t="shared" si="26"/>
        <v>53.5</v>
      </c>
      <c r="X119" s="6">
        <f t="shared" si="20"/>
        <v>53.5</v>
      </c>
      <c r="Y119" s="6" t="str">
        <f t="shared" si="21"/>
        <v xml:space="preserve"> </v>
      </c>
    </row>
    <row r="120" spans="1:25" x14ac:dyDescent="0.35">
      <c r="A120" s="13">
        <v>45783</v>
      </c>
      <c r="B120" s="15">
        <v>2032</v>
      </c>
      <c r="C120" s="11">
        <v>251</v>
      </c>
      <c r="D120" s="18">
        <v>1528.4</v>
      </c>
      <c r="E120" s="7">
        <f t="shared" si="27"/>
        <v>2017.1</v>
      </c>
      <c r="F120" s="7">
        <f t="shared" si="30"/>
        <v>2024.2599999999998</v>
      </c>
      <c r="G120" s="7">
        <f t="shared" si="33"/>
        <v>2013.4039999999995</v>
      </c>
      <c r="H120" s="4"/>
      <c r="I120" s="7">
        <f t="shared" si="22"/>
        <v>1.5</v>
      </c>
      <c r="J120" s="4">
        <f t="shared" si="18"/>
        <v>1.5</v>
      </c>
      <c r="K120" s="4" t="str">
        <f t="shared" si="19"/>
        <v xml:space="preserve"> </v>
      </c>
      <c r="L120" s="5">
        <f t="shared" si="28"/>
        <v>253.95</v>
      </c>
      <c r="M120" s="5">
        <f t="shared" si="31"/>
        <v>272.99250000000001</v>
      </c>
      <c r="N120" s="5">
        <f t="shared" si="34"/>
        <v>294.04099999999994</v>
      </c>
      <c r="O120" s="5"/>
      <c r="P120" s="5">
        <f t="shared" si="23"/>
        <v>-5.5</v>
      </c>
      <c r="Q120" s="5" t="str">
        <f t="shared" si="24"/>
        <v xml:space="preserve"> </v>
      </c>
      <c r="R120" s="5">
        <f t="shared" si="25"/>
        <v>-5.5</v>
      </c>
      <c r="S120" s="8">
        <f t="shared" si="29"/>
        <v>1544.44</v>
      </c>
      <c r="T120" s="8">
        <f t="shared" si="32"/>
        <v>1601.7850000000001</v>
      </c>
      <c r="U120" s="8">
        <f t="shared" si="35"/>
        <v>1582.99</v>
      </c>
      <c r="V120" s="6"/>
      <c r="W120" s="8">
        <f t="shared" si="26"/>
        <v>-46.599999999999909</v>
      </c>
      <c r="X120" s="6" t="str">
        <f t="shared" si="20"/>
        <v xml:space="preserve"> </v>
      </c>
      <c r="Y120" s="6">
        <f t="shared" si="21"/>
        <v>-46.599999999999909</v>
      </c>
    </row>
    <row r="121" spans="1:25" x14ac:dyDescent="0.35">
      <c r="A121" s="13">
        <v>45782</v>
      </c>
      <c r="B121" s="15">
        <v>2029</v>
      </c>
      <c r="C121" s="11">
        <v>260.45</v>
      </c>
      <c r="D121" s="18">
        <v>1555</v>
      </c>
      <c r="E121" s="7">
        <f t="shared" si="27"/>
        <v>2013.3</v>
      </c>
      <c r="F121" s="7">
        <f t="shared" si="30"/>
        <v>2024.4</v>
      </c>
      <c r="G121" s="7">
        <f t="shared" si="33"/>
        <v>2013.9799999999993</v>
      </c>
      <c r="H121" s="4"/>
      <c r="I121" s="7">
        <f t="shared" si="22"/>
        <v>-3</v>
      </c>
      <c r="J121" s="4" t="str">
        <f t="shared" si="18"/>
        <v xml:space="preserve"> </v>
      </c>
      <c r="K121" s="4">
        <f t="shared" si="19"/>
        <v>-3</v>
      </c>
      <c r="L121" s="5">
        <f t="shared" si="28"/>
        <v>253.44</v>
      </c>
      <c r="M121" s="5">
        <f t="shared" si="31"/>
        <v>271.67999999999995</v>
      </c>
      <c r="N121" s="5">
        <f t="shared" si="34"/>
        <v>292.86399999999998</v>
      </c>
      <c r="O121" s="5"/>
      <c r="P121" s="5">
        <f t="shared" si="23"/>
        <v>9.4499999999999886</v>
      </c>
      <c r="Q121" s="5">
        <f t="shared" si="24"/>
        <v>9.4499999999999886</v>
      </c>
      <c r="R121" s="5" t="str">
        <f t="shared" si="25"/>
        <v xml:space="preserve"> </v>
      </c>
      <c r="S121" s="8">
        <f t="shared" si="29"/>
        <v>1540.0400000000002</v>
      </c>
      <c r="T121" s="8">
        <f t="shared" si="32"/>
        <v>1600.2149999999999</v>
      </c>
      <c r="U121" s="8">
        <f t="shared" si="35"/>
        <v>1583.57</v>
      </c>
      <c r="V121" s="6"/>
      <c r="W121" s="8">
        <f t="shared" si="26"/>
        <v>26.599999999999909</v>
      </c>
      <c r="X121" s="6">
        <f t="shared" si="20"/>
        <v>26.599999999999909</v>
      </c>
      <c r="Y121" s="6" t="str">
        <f t="shared" si="21"/>
        <v xml:space="preserve"> </v>
      </c>
    </row>
    <row r="122" spans="1:25" x14ac:dyDescent="0.35">
      <c r="A122" s="13">
        <v>45779</v>
      </c>
      <c r="B122" s="15">
        <v>1954</v>
      </c>
      <c r="C122" s="11">
        <v>258.3</v>
      </c>
      <c r="D122" s="18">
        <v>1485.4</v>
      </c>
      <c r="E122" s="7">
        <f t="shared" si="27"/>
        <v>2009.1</v>
      </c>
      <c r="F122" s="7">
        <f t="shared" si="30"/>
        <v>2021.5250000000001</v>
      </c>
      <c r="G122" s="7">
        <f t="shared" si="33"/>
        <v>2012.8079999999995</v>
      </c>
      <c r="H122" s="4"/>
      <c r="I122" s="7">
        <f t="shared" si="22"/>
        <v>-75</v>
      </c>
      <c r="J122" s="4" t="str">
        <f t="shared" si="18"/>
        <v xml:space="preserve"> </v>
      </c>
      <c r="K122" s="4">
        <f t="shared" si="19"/>
        <v>-75</v>
      </c>
      <c r="L122" s="5">
        <f t="shared" si="28"/>
        <v>255.26</v>
      </c>
      <c r="M122" s="5">
        <f t="shared" si="31"/>
        <v>270.28499999999997</v>
      </c>
      <c r="N122" s="5">
        <f t="shared" si="34"/>
        <v>291.52199999999999</v>
      </c>
      <c r="O122" s="5"/>
      <c r="P122" s="5">
        <f t="shared" si="23"/>
        <v>-2.1499999999999773</v>
      </c>
      <c r="Q122" s="5" t="str">
        <f t="shared" si="24"/>
        <v xml:space="preserve"> </v>
      </c>
      <c r="R122" s="5">
        <f t="shared" si="25"/>
        <v>-2.1499999999999773</v>
      </c>
      <c r="S122" s="8">
        <f t="shared" si="29"/>
        <v>1533.06</v>
      </c>
      <c r="T122" s="8">
        <f t="shared" si="32"/>
        <v>1594.6100000000001</v>
      </c>
      <c r="U122" s="8">
        <f t="shared" si="35"/>
        <v>1582.7079999999996</v>
      </c>
      <c r="V122" s="6"/>
      <c r="W122" s="8">
        <f t="shared" si="26"/>
        <v>-69.599999999999909</v>
      </c>
      <c r="X122" s="6" t="str">
        <f t="shared" si="20"/>
        <v xml:space="preserve"> </v>
      </c>
      <c r="Y122" s="6">
        <f t="shared" si="21"/>
        <v>-69.599999999999909</v>
      </c>
    </row>
    <row r="123" spans="1:25" x14ac:dyDescent="0.35">
      <c r="A123" s="13">
        <v>45777</v>
      </c>
      <c r="B123" s="15">
        <v>1951</v>
      </c>
      <c r="C123" s="11">
        <v>259.08</v>
      </c>
      <c r="D123" s="18">
        <v>1490.1</v>
      </c>
      <c r="E123" s="7">
        <f t="shared" si="27"/>
        <v>1999.3</v>
      </c>
      <c r="F123" s="7">
        <f t="shared" si="30"/>
        <v>2018.3200000000002</v>
      </c>
      <c r="G123" s="7">
        <f t="shared" si="33"/>
        <v>2011.0819999999999</v>
      </c>
      <c r="H123" s="4"/>
      <c r="I123" s="7">
        <f t="shared" si="22"/>
        <v>-3</v>
      </c>
      <c r="J123" s="4" t="str">
        <f t="shared" si="18"/>
        <v xml:space="preserve"> </v>
      </c>
      <c r="K123" s="4">
        <f t="shared" si="19"/>
        <v>-3</v>
      </c>
      <c r="L123" s="5">
        <f t="shared" si="28"/>
        <v>257.06599999999997</v>
      </c>
      <c r="M123" s="5">
        <f t="shared" si="31"/>
        <v>268.81900000000002</v>
      </c>
      <c r="N123" s="5">
        <f t="shared" si="34"/>
        <v>290.06659999999999</v>
      </c>
      <c r="O123" s="5"/>
      <c r="P123" s="5">
        <f t="shared" si="23"/>
        <v>0.77999999999997272</v>
      </c>
      <c r="Q123" s="5">
        <f t="shared" si="24"/>
        <v>0.77999999999997272</v>
      </c>
      <c r="R123" s="5" t="str">
        <f t="shared" si="25"/>
        <v xml:space="preserve"> </v>
      </c>
      <c r="S123" s="8">
        <f t="shared" si="29"/>
        <v>1526.78</v>
      </c>
      <c r="T123" s="8">
        <f t="shared" si="32"/>
        <v>1588.375</v>
      </c>
      <c r="U123" s="8">
        <f t="shared" si="35"/>
        <v>1581.59</v>
      </c>
      <c r="V123" s="6"/>
      <c r="W123" s="8">
        <f t="shared" si="26"/>
        <v>4.6999999999998181</v>
      </c>
      <c r="X123" s="6">
        <f t="shared" si="20"/>
        <v>4.6999999999998181</v>
      </c>
      <c r="Y123" s="6" t="str">
        <f t="shared" si="21"/>
        <v xml:space="preserve"> </v>
      </c>
    </row>
    <row r="124" spans="1:25" x14ac:dyDescent="0.35">
      <c r="A124" s="13">
        <v>45776</v>
      </c>
      <c r="B124" s="15">
        <v>2063.8000000000002</v>
      </c>
      <c r="C124" s="11">
        <v>257.5</v>
      </c>
      <c r="D124" s="18">
        <v>1482</v>
      </c>
      <c r="E124" s="7">
        <f t="shared" si="27"/>
        <v>2005.9599999999998</v>
      </c>
      <c r="F124" s="7">
        <f t="shared" si="30"/>
        <v>2020.4650000000001</v>
      </c>
      <c r="G124" s="7">
        <f t="shared" si="33"/>
        <v>2011.8799999999997</v>
      </c>
      <c r="H124" s="4"/>
      <c r="I124" s="7">
        <f t="shared" si="22"/>
        <v>112.80000000000018</v>
      </c>
      <c r="J124" s="4">
        <f t="shared" si="18"/>
        <v>112.80000000000018</v>
      </c>
      <c r="K124" s="4" t="str">
        <f t="shared" si="19"/>
        <v xml:space="preserve"> </v>
      </c>
      <c r="L124" s="5">
        <f t="shared" si="28"/>
        <v>257.26599999999996</v>
      </c>
      <c r="M124" s="5">
        <f t="shared" si="31"/>
        <v>267.21899999999999</v>
      </c>
      <c r="N124" s="5">
        <f t="shared" si="34"/>
        <v>288.62059999999997</v>
      </c>
      <c r="O124" s="5"/>
      <c r="P124" s="5">
        <f t="shared" si="23"/>
        <v>-1.5799999999999841</v>
      </c>
      <c r="Q124" s="5" t="str">
        <f t="shared" si="24"/>
        <v xml:space="preserve"> </v>
      </c>
      <c r="R124" s="5">
        <f t="shared" si="25"/>
        <v>-1.5799999999999841</v>
      </c>
      <c r="S124" s="8">
        <f t="shared" si="29"/>
        <v>1508.1799999999998</v>
      </c>
      <c r="T124" s="8">
        <f t="shared" si="32"/>
        <v>1580.145</v>
      </c>
      <c r="U124" s="8">
        <f t="shared" si="35"/>
        <v>1579.8659999999998</v>
      </c>
      <c r="V124" s="6"/>
      <c r="W124" s="8">
        <f t="shared" si="26"/>
        <v>-8.0999999999999091</v>
      </c>
      <c r="X124" s="6" t="str">
        <f t="shared" si="20"/>
        <v xml:space="preserve"> </v>
      </c>
      <c r="Y124" s="6">
        <f t="shared" si="21"/>
        <v>-8.0999999999999091</v>
      </c>
    </row>
    <row r="125" spans="1:25" x14ac:dyDescent="0.35">
      <c r="A125" s="13">
        <v>45775</v>
      </c>
      <c r="B125" s="15">
        <v>2050</v>
      </c>
      <c r="C125" s="11">
        <v>258</v>
      </c>
      <c r="D125" s="18">
        <v>1520.5</v>
      </c>
      <c r="E125" s="7">
        <f t="shared" si="27"/>
        <v>2009.56</v>
      </c>
      <c r="F125" s="7">
        <f t="shared" si="30"/>
        <v>2021.2150000000001</v>
      </c>
      <c r="G125" s="7">
        <f t="shared" si="33"/>
        <v>2012.5999999999997</v>
      </c>
      <c r="H125" s="4"/>
      <c r="I125" s="7">
        <f t="shared" si="22"/>
        <v>-13.800000000000182</v>
      </c>
      <c r="J125" s="4" t="str">
        <f t="shared" si="18"/>
        <v xml:space="preserve"> </v>
      </c>
      <c r="K125" s="4">
        <f t="shared" si="19"/>
        <v>-13.800000000000182</v>
      </c>
      <c r="L125" s="5">
        <f t="shared" si="28"/>
        <v>258.666</v>
      </c>
      <c r="M125" s="5">
        <f t="shared" si="31"/>
        <v>265.48650000000004</v>
      </c>
      <c r="N125" s="5">
        <f t="shared" si="34"/>
        <v>287.20459999999997</v>
      </c>
      <c r="O125" s="5"/>
      <c r="P125" s="5">
        <f t="shared" si="23"/>
        <v>0.5</v>
      </c>
      <c r="Q125" s="5">
        <f t="shared" si="24"/>
        <v>0.5</v>
      </c>
      <c r="R125" s="5" t="str">
        <f t="shared" si="25"/>
        <v xml:space="preserve"> </v>
      </c>
      <c r="S125" s="8">
        <f t="shared" si="29"/>
        <v>1506.6</v>
      </c>
      <c r="T125" s="8">
        <f t="shared" si="32"/>
        <v>1572.9250000000002</v>
      </c>
      <c r="U125" s="8">
        <f t="shared" si="35"/>
        <v>1579.7959999999998</v>
      </c>
      <c r="V125" s="6"/>
      <c r="W125" s="8">
        <f t="shared" si="26"/>
        <v>38.5</v>
      </c>
      <c r="X125" s="6">
        <f t="shared" si="20"/>
        <v>38.5</v>
      </c>
      <c r="Y125" s="6" t="str">
        <f t="shared" si="21"/>
        <v xml:space="preserve"> </v>
      </c>
    </row>
    <row r="126" spans="1:25" x14ac:dyDescent="0.35">
      <c r="A126" s="13">
        <v>45772</v>
      </c>
      <c r="B126" s="15">
        <v>2045</v>
      </c>
      <c r="C126" s="11">
        <v>252.39</v>
      </c>
      <c r="D126" s="18">
        <v>1528.6</v>
      </c>
      <c r="E126" s="7">
        <f t="shared" si="27"/>
        <v>2012.7599999999998</v>
      </c>
      <c r="F126" s="7">
        <f t="shared" si="30"/>
        <v>2020.9200000000005</v>
      </c>
      <c r="G126" s="7">
        <f t="shared" si="33"/>
        <v>2013.3599999999997</v>
      </c>
      <c r="H126" s="4"/>
      <c r="I126" s="7">
        <f t="shared" si="22"/>
        <v>-5</v>
      </c>
      <c r="J126" s="4" t="str">
        <f t="shared" si="18"/>
        <v xml:space="preserve"> </v>
      </c>
      <c r="K126" s="4">
        <f t="shared" si="19"/>
        <v>-5</v>
      </c>
      <c r="L126" s="5">
        <f t="shared" si="28"/>
        <v>257.05399999999997</v>
      </c>
      <c r="M126" s="5">
        <f t="shared" si="31"/>
        <v>264.03100000000001</v>
      </c>
      <c r="N126" s="5">
        <f t="shared" si="34"/>
        <v>285.68639999999994</v>
      </c>
      <c r="O126" s="5"/>
      <c r="P126" s="5">
        <f t="shared" si="23"/>
        <v>-5.6100000000000136</v>
      </c>
      <c r="Q126" s="5" t="str">
        <f t="shared" si="24"/>
        <v xml:space="preserve"> </v>
      </c>
      <c r="R126" s="5">
        <f t="shared" si="25"/>
        <v>-5.6100000000000136</v>
      </c>
      <c r="S126" s="8">
        <f t="shared" si="29"/>
        <v>1501.3200000000002</v>
      </c>
      <c r="T126" s="8">
        <f t="shared" si="32"/>
        <v>1567.0149999999999</v>
      </c>
      <c r="U126" s="8">
        <f t="shared" si="35"/>
        <v>1580.0279999999998</v>
      </c>
      <c r="V126" s="6"/>
      <c r="W126" s="8">
        <f t="shared" si="26"/>
        <v>8.0999999999999091</v>
      </c>
      <c r="X126" s="6">
        <f t="shared" si="20"/>
        <v>8.0999999999999091</v>
      </c>
      <c r="Y126" s="6" t="str">
        <f t="shared" si="21"/>
        <v xml:space="preserve"> </v>
      </c>
    </row>
    <row r="127" spans="1:25" x14ac:dyDescent="0.35">
      <c r="A127" s="13">
        <v>45771</v>
      </c>
      <c r="B127" s="15">
        <v>2103.3000000000002</v>
      </c>
      <c r="C127" s="11">
        <v>258.94</v>
      </c>
      <c r="D127" s="18">
        <v>1557</v>
      </c>
      <c r="E127" s="7">
        <f t="shared" si="27"/>
        <v>2042.6200000000001</v>
      </c>
      <c r="F127" s="7">
        <f t="shared" si="30"/>
        <v>2024.0850000000003</v>
      </c>
      <c r="G127" s="7">
        <f t="shared" si="33"/>
        <v>2015.5839999999998</v>
      </c>
      <c r="H127" s="4"/>
      <c r="I127" s="7">
        <f t="shared" si="22"/>
        <v>58.300000000000182</v>
      </c>
      <c r="J127" s="4">
        <f t="shared" si="18"/>
        <v>58.300000000000182</v>
      </c>
      <c r="K127" s="4" t="str">
        <f t="shared" si="19"/>
        <v xml:space="preserve"> </v>
      </c>
      <c r="L127" s="5">
        <f t="shared" si="28"/>
        <v>257.18199999999996</v>
      </c>
      <c r="M127" s="5">
        <f t="shared" si="31"/>
        <v>262.90800000000002</v>
      </c>
      <c r="N127" s="5">
        <f t="shared" si="34"/>
        <v>284.36519999999996</v>
      </c>
      <c r="O127" s="5"/>
      <c r="P127" s="5">
        <f t="shared" si="23"/>
        <v>6.5500000000000114</v>
      </c>
      <c r="Q127" s="5">
        <f t="shared" si="24"/>
        <v>6.5500000000000114</v>
      </c>
      <c r="R127" s="5" t="str">
        <f t="shared" si="25"/>
        <v xml:space="preserve"> </v>
      </c>
      <c r="S127" s="8">
        <f t="shared" si="29"/>
        <v>1515.64</v>
      </c>
      <c r="T127" s="8">
        <f t="shared" si="32"/>
        <v>1563.53</v>
      </c>
      <c r="U127" s="8">
        <f t="shared" si="35"/>
        <v>1580.61</v>
      </c>
      <c r="V127" s="6"/>
      <c r="W127" s="8">
        <f t="shared" si="26"/>
        <v>28.400000000000091</v>
      </c>
      <c r="X127" s="6">
        <f t="shared" si="20"/>
        <v>28.400000000000091</v>
      </c>
      <c r="Y127" s="6" t="str">
        <f t="shared" si="21"/>
        <v xml:space="preserve"> </v>
      </c>
    </row>
    <row r="128" spans="1:25" x14ac:dyDescent="0.35">
      <c r="A128" s="13">
        <v>45770</v>
      </c>
      <c r="B128" s="15">
        <v>2097.3000000000002</v>
      </c>
      <c r="C128" s="11">
        <v>258.02</v>
      </c>
      <c r="D128" s="18">
        <v>1569</v>
      </c>
      <c r="E128" s="7">
        <f t="shared" si="27"/>
        <v>2071.88</v>
      </c>
      <c r="F128" s="7">
        <f t="shared" si="30"/>
        <v>2028.7600000000002</v>
      </c>
      <c r="G128" s="7">
        <f t="shared" si="33"/>
        <v>2017.934</v>
      </c>
      <c r="H128" s="4"/>
      <c r="I128" s="7">
        <f t="shared" si="22"/>
        <v>-6</v>
      </c>
      <c r="J128" s="4" t="str">
        <f t="shared" si="18"/>
        <v xml:space="preserve"> </v>
      </c>
      <c r="K128" s="4">
        <f t="shared" si="19"/>
        <v>-6</v>
      </c>
      <c r="L128" s="5">
        <f t="shared" si="28"/>
        <v>256.96999999999997</v>
      </c>
      <c r="M128" s="5">
        <f t="shared" si="31"/>
        <v>262.06899999999996</v>
      </c>
      <c r="N128" s="5">
        <f t="shared" si="34"/>
        <v>283.02759999999995</v>
      </c>
      <c r="O128" s="5"/>
      <c r="P128" s="5">
        <f t="shared" si="23"/>
        <v>-0.92000000000001592</v>
      </c>
      <c r="Q128" s="5" t="str">
        <f t="shared" si="24"/>
        <v xml:space="preserve"> </v>
      </c>
      <c r="R128" s="5">
        <f t="shared" si="25"/>
        <v>-0.92000000000001592</v>
      </c>
      <c r="S128" s="8">
        <f t="shared" si="29"/>
        <v>1531.42</v>
      </c>
      <c r="T128" s="8">
        <f t="shared" si="32"/>
        <v>1560.5700000000002</v>
      </c>
      <c r="U128" s="8">
        <f t="shared" si="35"/>
        <v>1581.43</v>
      </c>
      <c r="V128" s="6"/>
      <c r="W128" s="8">
        <f t="shared" si="26"/>
        <v>12</v>
      </c>
      <c r="X128" s="6">
        <f t="shared" si="20"/>
        <v>12</v>
      </c>
      <c r="Y128" s="6" t="str">
        <f t="shared" si="21"/>
        <v xml:space="preserve"> </v>
      </c>
    </row>
    <row r="129" spans="1:25" x14ac:dyDescent="0.35">
      <c r="A129" s="13">
        <v>45769</v>
      </c>
      <c r="B129" s="15">
        <v>2074</v>
      </c>
      <c r="C129" s="11">
        <v>250.6</v>
      </c>
      <c r="D129" s="18">
        <v>1561</v>
      </c>
      <c r="E129" s="7">
        <f t="shared" si="27"/>
        <v>2073.92</v>
      </c>
      <c r="F129" s="7">
        <f t="shared" si="30"/>
        <v>2030.7450000000003</v>
      </c>
      <c r="G129" s="7">
        <f t="shared" si="33"/>
        <v>2019.2319999999997</v>
      </c>
      <c r="H129" s="4"/>
      <c r="I129" s="7">
        <f t="shared" si="22"/>
        <v>-23.300000000000182</v>
      </c>
      <c r="J129" s="4" t="str">
        <f t="shared" si="18"/>
        <v xml:space="preserve"> </v>
      </c>
      <c r="K129" s="4">
        <f t="shared" si="19"/>
        <v>-23.300000000000182</v>
      </c>
      <c r="L129" s="5">
        <f t="shared" si="28"/>
        <v>255.58999999999997</v>
      </c>
      <c r="M129" s="5">
        <f t="shared" si="31"/>
        <v>260.87150000000003</v>
      </c>
      <c r="N129" s="5">
        <f t="shared" si="34"/>
        <v>281.50859999999994</v>
      </c>
      <c r="O129" s="5"/>
      <c r="P129" s="5">
        <f t="shared" si="23"/>
        <v>-7.4199999999999875</v>
      </c>
      <c r="Q129" s="5" t="str">
        <f t="shared" si="24"/>
        <v xml:space="preserve"> </v>
      </c>
      <c r="R129" s="5">
        <f t="shared" si="25"/>
        <v>-7.4199999999999875</v>
      </c>
      <c r="S129" s="8">
        <f t="shared" si="29"/>
        <v>1547.22</v>
      </c>
      <c r="T129" s="8">
        <f t="shared" si="32"/>
        <v>1556.02</v>
      </c>
      <c r="U129" s="8">
        <f t="shared" si="35"/>
        <v>1581.5560000000003</v>
      </c>
      <c r="V129" s="6"/>
      <c r="W129" s="8">
        <f t="shared" si="26"/>
        <v>-8</v>
      </c>
      <c r="X129" s="6" t="str">
        <f t="shared" si="20"/>
        <v xml:space="preserve"> </v>
      </c>
      <c r="Y129" s="6">
        <f t="shared" si="21"/>
        <v>-8</v>
      </c>
    </row>
    <row r="130" spans="1:25" x14ac:dyDescent="0.35">
      <c r="A130" s="13">
        <v>45768</v>
      </c>
      <c r="B130" s="15">
        <v>2106</v>
      </c>
      <c r="C130" s="11">
        <v>245.96</v>
      </c>
      <c r="D130" s="18">
        <v>1658.9</v>
      </c>
      <c r="E130" s="7">
        <f t="shared" si="27"/>
        <v>2085.12</v>
      </c>
      <c r="F130" s="7">
        <f t="shared" si="30"/>
        <v>2035.845</v>
      </c>
      <c r="G130" s="7">
        <f t="shared" si="33"/>
        <v>2020.2519999999997</v>
      </c>
      <c r="H130" s="4"/>
      <c r="I130" s="7">
        <f t="shared" si="22"/>
        <v>32</v>
      </c>
      <c r="J130" s="4">
        <f t="shared" si="18"/>
        <v>32</v>
      </c>
      <c r="K130" s="4" t="str">
        <f t="shared" si="19"/>
        <v xml:space="preserve"> </v>
      </c>
      <c r="L130" s="5">
        <f t="shared" si="28"/>
        <v>253.18199999999996</v>
      </c>
      <c r="M130" s="5">
        <f t="shared" si="31"/>
        <v>259.58449999999999</v>
      </c>
      <c r="N130" s="5">
        <f t="shared" si="34"/>
        <v>279.82379999999995</v>
      </c>
      <c r="O130" s="5"/>
      <c r="P130" s="5">
        <f t="shared" si="23"/>
        <v>-4.6399999999999864</v>
      </c>
      <c r="Q130" s="5" t="str">
        <f t="shared" si="24"/>
        <v xml:space="preserve"> </v>
      </c>
      <c r="R130" s="5">
        <f t="shared" si="25"/>
        <v>-4.6399999999999864</v>
      </c>
      <c r="S130" s="8">
        <f t="shared" si="29"/>
        <v>1574.9</v>
      </c>
      <c r="T130" s="8">
        <f t="shared" si="32"/>
        <v>1558.415</v>
      </c>
      <c r="U130" s="8">
        <f t="shared" si="35"/>
        <v>1582.7339999999999</v>
      </c>
      <c r="V130" s="6"/>
      <c r="W130" s="8">
        <f t="shared" si="26"/>
        <v>97.900000000000091</v>
      </c>
      <c r="X130" s="6">
        <f t="shared" si="20"/>
        <v>97.900000000000091</v>
      </c>
      <c r="Y130" s="6" t="str">
        <f t="shared" si="21"/>
        <v xml:space="preserve"> </v>
      </c>
    </row>
    <row r="131" spans="1:25" x14ac:dyDescent="0.35">
      <c r="A131" s="13">
        <v>45764</v>
      </c>
      <c r="B131" s="15">
        <v>2031</v>
      </c>
      <c r="C131" s="11">
        <v>246.2</v>
      </c>
      <c r="D131" s="18">
        <v>1588.1</v>
      </c>
      <c r="E131" s="7">
        <f t="shared" si="27"/>
        <v>2082.3200000000002</v>
      </c>
      <c r="F131" s="7">
        <f t="shared" si="30"/>
        <v>2035.5349999999999</v>
      </c>
      <c r="G131" s="7">
        <f t="shared" si="33"/>
        <v>2019.77</v>
      </c>
      <c r="H131" s="4"/>
      <c r="I131" s="7">
        <f t="shared" si="22"/>
        <v>-75</v>
      </c>
      <c r="J131" s="4" t="str">
        <f t="shared" ref="J131:J194" si="36">IF(I131&gt;0,I131," ")</f>
        <v xml:space="preserve"> </v>
      </c>
      <c r="K131" s="4">
        <f t="shared" ref="K131:K194" si="37">IF(I131&lt;0,I131," ")</f>
        <v>-75</v>
      </c>
      <c r="L131" s="5">
        <f t="shared" si="28"/>
        <v>251.94400000000002</v>
      </c>
      <c r="M131" s="5">
        <f t="shared" si="31"/>
        <v>258.05200000000002</v>
      </c>
      <c r="N131" s="5">
        <f t="shared" si="34"/>
        <v>278.19979999999998</v>
      </c>
      <c r="O131" s="5"/>
      <c r="P131" s="5">
        <f t="shared" si="23"/>
        <v>0.23999999999998067</v>
      </c>
      <c r="Q131" s="5">
        <f t="shared" si="24"/>
        <v>0.23999999999998067</v>
      </c>
      <c r="R131" s="5" t="str">
        <f t="shared" si="25"/>
        <v xml:space="preserve"> </v>
      </c>
      <c r="S131" s="8">
        <f t="shared" si="29"/>
        <v>1586.8</v>
      </c>
      <c r="T131" s="8">
        <f t="shared" si="32"/>
        <v>1556.07</v>
      </c>
      <c r="U131" s="8">
        <f t="shared" si="35"/>
        <v>1581.9360000000001</v>
      </c>
      <c r="V131" s="6"/>
      <c r="W131" s="8">
        <f t="shared" si="26"/>
        <v>-70.800000000000182</v>
      </c>
      <c r="X131" s="6" t="str">
        <f t="shared" ref="X131:X194" si="38">IF(W131&gt;0,W131," ")</f>
        <v xml:space="preserve"> </v>
      </c>
      <c r="Y131" s="6">
        <f t="shared" ref="Y131:Y194" si="39">IF(W131&lt;0,W131," ")</f>
        <v>-70.800000000000182</v>
      </c>
    </row>
    <row r="132" spans="1:25" x14ac:dyDescent="0.35">
      <c r="A132" s="13">
        <v>45763</v>
      </c>
      <c r="B132" s="15">
        <v>1968.5</v>
      </c>
      <c r="C132" s="11">
        <v>242.3</v>
      </c>
      <c r="D132" s="18">
        <v>1597</v>
      </c>
      <c r="E132" s="7">
        <f t="shared" si="27"/>
        <v>2055.3599999999997</v>
      </c>
      <c r="F132" s="7">
        <f t="shared" si="30"/>
        <v>2032.1599999999999</v>
      </c>
      <c r="G132" s="7">
        <f t="shared" si="33"/>
        <v>2018.4200000000003</v>
      </c>
      <c r="H132" s="4"/>
      <c r="I132" s="7">
        <f t="shared" ref="I132:I195" si="40">B132-B131</f>
        <v>-62.5</v>
      </c>
      <c r="J132" s="4" t="str">
        <f t="shared" si="36"/>
        <v xml:space="preserve"> </v>
      </c>
      <c r="K132" s="4">
        <f t="shared" si="37"/>
        <v>-62.5</v>
      </c>
      <c r="L132" s="5">
        <f t="shared" si="28"/>
        <v>248.61599999999999</v>
      </c>
      <c r="M132" s="5">
        <f t="shared" si="31"/>
        <v>256.35199999999998</v>
      </c>
      <c r="N132" s="5">
        <f t="shared" si="34"/>
        <v>276.55379999999997</v>
      </c>
      <c r="O132" s="5"/>
      <c r="P132" s="5">
        <f t="shared" ref="P132:P195" si="41">C132-C131</f>
        <v>-3.8999999999999773</v>
      </c>
      <c r="Q132" s="5" t="str">
        <f t="shared" ref="Q132:Q195" si="42">IF(P132&gt;0, P132," ")</f>
        <v xml:space="preserve"> </v>
      </c>
      <c r="R132" s="5">
        <f t="shared" ref="R132:R195" si="43">IF(P132&lt;0,P132," ")</f>
        <v>-3.8999999999999773</v>
      </c>
      <c r="S132" s="8">
        <f t="shared" si="29"/>
        <v>1594.8</v>
      </c>
      <c r="T132" s="8">
        <f t="shared" si="32"/>
        <v>1555.1699999999998</v>
      </c>
      <c r="U132" s="8">
        <f t="shared" si="35"/>
        <v>1580.81</v>
      </c>
      <c r="V132" s="6"/>
      <c r="W132" s="8">
        <f t="shared" ref="W132:W195" si="44">D132-D131</f>
        <v>8.9000000000000909</v>
      </c>
      <c r="X132" s="6">
        <f t="shared" si="38"/>
        <v>8.9000000000000909</v>
      </c>
      <c r="Y132" s="6" t="str">
        <f t="shared" si="39"/>
        <v xml:space="preserve"> </v>
      </c>
    </row>
    <row r="133" spans="1:25" x14ac:dyDescent="0.35">
      <c r="A133" s="13">
        <v>45762</v>
      </c>
      <c r="B133" s="15">
        <v>1971</v>
      </c>
      <c r="C133" s="11">
        <v>239.05</v>
      </c>
      <c r="D133" s="18">
        <v>1560</v>
      </c>
      <c r="E133" s="7">
        <f t="shared" si="27"/>
        <v>2030.1</v>
      </c>
      <c r="F133" s="7">
        <f t="shared" si="30"/>
        <v>2028.61</v>
      </c>
      <c r="G133" s="7">
        <f t="shared" si="33"/>
        <v>2016.8400000000004</v>
      </c>
      <c r="H133" s="4"/>
      <c r="I133" s="7">
        <f t="shared" si="40"/>
        <v>2.5</v>
      </c>
      <c r="J133" s="4">
        <f t="shared" si="36"/>
        <v>2.5</v>
      </c>
      <c r="K133" s="4" t="str">
        <f t="shared" si="37"/>
        <v xml:space="preserve"> </v>
      </c>
      <c r="L133" s="5">
        <f t="shared" si="28"/>
        <v>244.82199999999997</v>
      </c>
      <c r="M133" s="5">
        <f t="shared" si="31"/>
        <v>254.602</v>
      </c>
      <c r="N133" s="5">
        <f t="shared" si="34"/>
        <v>275.0838</v>
      </c>
      <c r="O133" s="5"/>
      <c r="P133" s="5">
        <f t="shared" si="41"/>
        <v>-3.25</v>
      </c>
      <c r="Q133" s="5" t="str">
        <f t="shared" si="42"/>
        <v xml:space="preserve"> </v>
      </c>
      <c r="R133" s="5">
        <f t="shared" si="43"/>
        <v>-3.25</v>
      </c>
      <c r="S133" s="8">
        <f t="shared" si="29"/>
        <v>1593</v>
      </c>
      <c r="T133" s="8">
        <f t="shared" si="32"/>
        <v>1552.67</v>
      </c>
      <c r="U133" s="8">
        <f t="shared" si="35"/>
        <v>1579.51</v>
      </c>
      <c r="V133" s="6"/>
      <c r="W133" s="8">
        <f t="shared" si="44"/>
        <v>-37</v>
      </c>
      <c r="X133" s="6" t="str">
        <f t="shared" si="38"/>
        <v xml:space="preserve"> </v>
      </c>
      <c r="Y133" s="6">
        <f t="shared" si="39"/>
        <v>-37</v>
      </c>
    </row>
    <row r="134" spans="1:25" x14ac:dyDescent="0.35">
      <c r="A134" s="13">
        <v>45758</v>
      </c>
      <c r="B134" s="15">
        <v>1946.3</v>
      </c>
      <c r="C134" s="11">
        <v>230.4</v>
      </c>
      <c r="D134" s="18">
        <v>1468.9</v>
      </c>
      <c r="E134" s="7">
        <f t="shared" si="27"/>
        <v>2004.56</v>
      </c>
      <c r="F134" s="7">
        <f t="shared" si="30"/>
        <v>2024.9300000000003</v>
      </c>
      <c r="G134" s="7">
        <f t="shared" si="33"/>
        <v>2015.4780000000005</v>
      </c>
      <c r="H134" s="4"/>
      <c r="I134" s="7">
        <f t="shared" si="40"/>
        <v>-24.700000000000045</v>
      </c>
      <c r="J134" s="4" t="str">
        <f t="shared" si="36"/>
        <v xml:space="preserve"> </v>
      </c>
      <c r="K134" s="4">
        <f t="shared" si="37"/>
        <v>-24.700000000000045</v>
      </c>
      <c r="L134" s="5">
        <f t="shared" si="28"/>
        <v>240.78200000000001</v>
      </c>
      <c r="M134" s="5">
        <f t="shared" si="31"/>
        <v>252.73199999999997</v>
      </c>
      <c r="N134" s="5">
        <f t="shared" si="34"/>
        <v>273.62179999999995</v>
      </c>
      <c r="O134" s="5"/>
      <c r="P134" s="5">
        <f t="shared" si="41"/>
        <v>-8.6500000000000057</v>
      </c>
      <c r="Q134" s="5" t="str">
        <f t="shared" si="42"/>
        <v xml:space="preserve"> </v>
      </c>
      <c r="R134" s="5">
        <f t="shared" si="43"/>
        <v>-8.6500000000000057</v>
      </c>
      <c r="S134" s="8">
        <f t="shared" si="29"/>
        <v>1574.58</v>
      </c>
      <c r="T134" s="8">
        <f t="shared" si="32"/>
        <v>1546.165</v>
      </c>
      <c r="U134" s="8">
        <f t="shared" si="35"/>
        <v>1576.808</v>
      </c>
      <c r="V134" s="6"/>
      <c r="W134" s="8">
        <f t="shared" si="44"/>
        <v>-91.099999999999909</v>
      </c>
      <c r="X134" s="6" t="str">
        <f t="shared" si="38"/>
        <v xml:space="preserve"> </v>
      </c>
      <c r="Y134" s="6">
        <f t="shared" si="39"/>
        <v>-91.099999999999909</v>
      </c>
    </row>
    <row r="135" spans="1:25" x14ac:dyDescent="0.35">
      <c r="A135" s="13">
        <v>45756</v>
      </c>
      <c r="B135" s="15">
        <v>1900</v>
      </c>
      <c r="C135" s="11">
        <v>221.1</v>
      </c>
      <c r="D135" s="18">
        <v>1433.45</v>
      </c>
      <c r="E135" s="7">
        <f t="shared" ref="E135:E198" si="45">AVERAGE(B131:B135)</f>
        <v>1963.36</v>
      </c>
      <c r="F135" s="7">
        <f t="shared" si="30"/>
        <v>2018.7849999999999</v>
      </c>
      <c r="G135" s="7">
        <f t="shared" si="33"/>
        <v>2013.3180000000004</v>
      </c>
      <c r="H135" s="4"/>
      <c r="I135" s="7">
        <f t="shared" si="40"/>
        <v>-46.299999999999955</v>
      </c>
      <c r="J135" s="4" t="str">
        <f t="shared" si="36"/>
        <v xml:space="preserve"> </v>
      </c>
      <c r="K135" s="4">
        <f t="shared" si="37"/>
        <v>-46.299999999999955</v>
      </c>
      <c r="L135" s="5">
        <f t="shared" ref="L135:L198" si="46">AVERAGE(C131:C135)</f>
        <v>235.81</v>
      </c>
      <c r="M135" s="5">
        <f t="shared" si="31"/>
        <v>250.40199999999999</v>
      </c>
      <c r="N135" s="5">
        <f t="shared" si="34"/>
        <v>272.01379999999995</v>
      </c>
      <c r="O135" s="5"/>
      <c r="P135" s="5">
        <f t="shared" si="41"/>
        <v>-9.3000000000000114</v>
      </c>
      <c r="Q135" s="5" t="str">
        <f t="shared" si="42"/>
        <v xml:space="preserve"> </v>
      </c>
      <c r="R135" s="5">
        <f t="shared" si="43"/>
        <v>-9.3000000000000114</v>
      </c>
      <c r="S135" s="8">
        <f t="shared" ref="S135:S198" si="47">AVERAGE(D131:D135)</f>
        <v>1529.49</v>
      </c>
      <c r="T135" s="8">
        <f t="shared" si="32"/>
        <v>1538.8575000000001</v>
      </c>
      <c r="U135" s="8">
        <f t="shared" si="35"/>
        <v>1573.4189999999999</v>
      </c>
      <c r="V135" s="6"/>
      <c r="W135" s="8">
        <f t="shared" si="44"/>
        <v>-35.450000000000045</v>
      </c>
      <c r="X135" s="6" t="str">
        <f t="shared" si="38"/>
        <v xml:space="preserve"> </v>
      </c>
      <c r="Y135" s="6">
        <f t="shared" si="39"/>
        <v>-35.450000000000045</v>
      </c>
    </row>
    <row r="136" spans="1:25" x14ac:dyDescent="0.35">
      <c r="A136" s="13">
        <v>45755</v>
      </c>
      <c r="B136" s="15">
        <v>1903.45</v>
      </c>
      <c r="C136" s="11">
        <v>225.49</v>
      </c>
      <c r="D136" s="18">
        <v>1469.5</v>
      </c>
      <c r="E136" s="7">
        <f t="shared" si="45"/>
        <v>1937.85</v>
      </c>
      <c r="F136" s="7">
        <f t="shared" si="30"/>
        <v>2011.5574999999997</v>
      </c>
      <c r="G136" s="7">
        <f t="shared" si="33"/>
        <v>2011.4870000000003</v>
      </c>
      <c r="H136" s="4"/>
      <c r="I136" s="7">
        <f t="shared" si="40"/>
        <v>3.4500000000000455</v>
      </c>
      <c r="J136" s="4">
        <f t="shared" si="36"/>
        <v>3.4500000000000455</v>
      </c>
      <c r="K136" s="4" t="str">
        <f t="shared" si="37"/>
        <v xml:space="preserve"> </v>
      </c>
      <c r="L136" s="5">
        <f t="shared" si="46"/>
        <v>231.66800000000003</v>
      </c>
      <c r="M136" s="5">
        <f t="shared" si="31"/>
        <v>248.5265</v>
      </c>
      <c r="N136" s="5">
        <f t="shared" si="34"/>
        <v>270.65959999999995</v>
      </c>
      <c r="O136" s="5"/>
      <c r="P136" s="5">
        <f t="shared" si="41"/>
        <v>4.3900000000000148</v>
      </c>
      <c r="Q136" s="5">
        <f t="shared" si="42"/>
        <v>4.3900000000000148</v>
      </c>
      <c r="R136" s="5" t="str">
        <f t="shared" si="43"/>
        <v xml:space="preserve"> </v>
      </c>
      <c r="S136" s="8">
        <f t="shared" si="47"/>
        <v>1505.77</v>
      </c>
      <c r="T136" s="8">
        <f t="shared" si="32"/>
        <v>1533.4825000000003</v>
      </c>
      <c r="U136" s="8">
        <f t="shared" si="35"/>
        <v>1571.2629999999997</v>
      </c>
      <c r="V136" s="6"/>
      <c r="W136" s="8">
        <f t="shared" si="44"/>
        <v>36.049999999999955</v>
      </c>
      <c r="X136" s="6">
        <f t="shared" si="38"/>
        <v>36.049999999999955</v>
      </c>
      <c r="Y136" s="6" t="str">
        <f t="shared" si="39"/>
        <v xml:space="preserve"> </v>
      </c>
    </row>
    <row r="137" spans="1:25" x14ac:dyDescent="0.35">
      <c r="A137" s="13">
        <v>45754</v>
      </c>
      <c r="B137" s="15">
        <v>1849.7</v>
      </c>
      <c r="C137" s="11">
        <v>214.85</v>
      </c>
      <c r="D137" s="18">
        <v>1381.35</v>
      </c>
      <c r="E137" s="7">
        <f t="shared" si="45"/>
        <v>1914.0900000000001</v>
      </c>
      <c r="F137" s="7">
        <f t="shared" si="30"/>
        <v>2005.2924999999996</v>
      </c>
      <c r="G137" s="7">
        <f t="shared" si="33"/>
        <v>2008.9450000000004</v>
      </c>
      <c r="H137" s="4"/>
      <c r="I137" s="7">
        <f t="shared" si="40"/>
        <v>-53.75</v>
      </c>
      <c r="J137" s="4" t="str">
        <f t="shared" si="36"/>
        <v xml:space="preserve"> </v>
      </c>
      <c r="K137" s="4">
        <f t="shared" si="37"/>
        <v>-53.75</v>
      </c>
      <c r="L137" s="5">
        <f t="shared" si="46"/>
        <v>226.17800000000003</v>
      </c>
      <c r="M137" s="5">
        <f t="shared" si="31"/>
        <v>246.80900000000003</v>
      </c>
      <c r="N137" s="5">
        <f t="shared" si="34"/>
        <v>269.08659999999998</v>
      </c>
      <c r="O137" s="5"/>
      <c r="P137" s="5">
        <f t="shared" si="41"/>
        <v>-10.640000000000015</v>
      </c>
      <c r="Q137" s="5" t="str">
        <f t="shared" si="42"/>
        <v xml:space="preserve"> </v>
      </c>
      <c r="R137" s="5">
        <f t="shared" si="43"/>
        <v>-10.640000000000015</v>
      </c>
      <c r="S137" s="8">
        <f t="shared" si="47"/>
        <v>1462.64</v>
      </c>
      <c r="T137" s="8">
        <f t="shared" si="32"/>
        <v>1526.5350000000001</v>
      </c>
      <c r="U137" s="8">
        <f t="shared" si="35"/>
        <v>1567.8879999999999</v>
      </c>
      <c r="V137" s="6"/>
      <c r="W137" s="8">
        <f t="shared" si="44"/>
        <v>-88.150000000000091</v>
      </c>
      <c r="X137" s="6" t="str">
        <f t="shared" si="38"/>
        <v xml:space="preserve"> </v>
      </c>
      <c r="Y137" s="6">
        <f t="shared" si="39"/>
        <v>-88.150000000000091</v>
      </c>
    </row>
    <row r="138" spans="1:25" x14ac:dyDescent="0.35">
      <c r="A138" s="13">
        <v>45751</v>
      </c>
      <c r="B138" s="15">
        <v>1911.85</v>
      </c>
      <c r="C138" s="11">
        <v>222.55</v>
      </c>
      <c r="D138" s="18">
        <v>1451.3</v>
      </c>
      <c r="E138" s="7">
        <f t="shared" si="45"/>
        <v>1902.2599999999998</v>
      </c>
      <c r="F138" s="7">
        <f t="shared" si="30"/>
        <v>2000.8849999999995</v>
      </c>
      <c r="G138" s="7">
        <f t="shared" si="33"/>
        <v>2008.0340000000003</v>
      </c>
      <c r="H138" s="4"/>
      <c r="I138" s="7">
        <f t="shared" si="40"/>
        <v>62.149999999999864</v>
      </c>
      <c r="J138" s="4">
        <f t="shared" si="36"/>
        <v>62.149999999999864</v>
      </c>
      <c r="K138" s="4" t="str">
        <f t="shared" si="37"/>
        <v xml:space="preserve"> </v>
      </c>
      <c r="L138" s="5">
        <f t="shared" si="46"/>
        <v>222.87800000000001</v>
      </c>
      <c r="M138" s="5">
        <f t="shared" si="31"/>
        <v>245.43400000000003</v>
      </c>
      <c r="N138" s="5">
        <f t="shared" si="34"/>
        <v>267.87759999999997</v>
      </c>
      <c r="O138" s="5"/>
      <c r="P138" s="5">
        <f t="shared" si="41"/>
        <v>7.7000000000000171</v>
      </c>
      <c r="Q138" s="5">
        <f t="shared" si="42"/>
        <v>7.7000000000000171</v>
      </c>
      <c r="R138" s="5" t="str">
        <f t="shared" si="43"/>
        <v xml:space="preserve"> </v>
      </c>
      <c r="S138" s="8">
        <f t="shared" si="47"/>
        <v>1440.9</v>
      </c>
      <c r="T138" s="8">
        <f t="shared" si="32"/>
        <v>1523.0250000000001</v>
      </c>
      <c r="U138" s="8">
        <f t="shared" si="35"/>
        <v>1565.9940000000001</v>
      </c>
      <c r="V138" s="6"/>
      <c r="W138" s="8">
        <f t="shared" si="44"/>
        <v>69.950000000000045</v>
      </c>
      <c r="X138" s="6">
        <f t="shared" si="38"/>
        <v>69.950000000000045</v>
      </c>
      <c r="Y138" s="6" t="str">
        <f t="shared" si="39"/>
        <v xml:space="preserve"> </v>
      </c>
    </row>
    <row r="139" spans="1:25" x14ac:dyDescent="0.35">
      <c r="A139" s="13">
        <v>45750</v>
      </c>
      <c r="B139" s="15">
        <v>1919</v>
      </c>
      <c r="C139" s="11">
        <v>230.64</v>
      </c>
      <c r="D139" s="18">
        <v>1447</v>
      </c>
      <c r="E139" s="7">
        <f t="shared" si="45"/>
        <v>1896.8</v>
      </c>
      <c r="F139" s="7">
        <f t="shared" si="30"/>
        <v>1995.3099999999995</v>
      </c>
      <c r="G139" s="7">
        <f t="shared" si="33"/>
        <v>2006.8340000000003</v>
      </c>
      <c r="H139" s="4"/>
      <c r="I139" s="7">
        <f t="shared" si="40"/>
        <v>7.1500000000000909</v>
      </c>
      <c r="J139" s="4">
        <f t="shared" si="36"/>
        <v>7.1500000000000909</v>
      </c>
      <c r="K139" s="4" t="str">
        <f t="shared" si="37"/>
        <v xml:space="preserve"> </v>
      </c>
      <c r="L139" s="5">
        <f t="shared" si="46"/>
        <v>222.92600000000002</v>
      </c>
      <c r="M139" s="5">
        <f t="shared" si="31"/>
        <v>244.14100000000002</v>
      </c>
      <c r="N139" s="5">
        <f t="shared" si="34"/>
        <v>266.73539999999991</v>
      </c>
      <c r="O139" s="5"/>
      <c r="P139" s="5">
        <f t="shared" si="41"/>
        <v>8.089999999999975</v>
      </c>
      <c r="Q139" s="5">
        <f t="shared" si="42"/>
        <v>8.089999999999975</v>
      </c>
      <c r="R139" s="5" t="str">
        <f t="shared" si="43"/>
        <v xml:space="preserve"> </v>
      </c>
      <c r="S139" s="8">
        <f t="shared" si="47"/>
        <v>1436.52</v>
      </c>
      <c r="T139" s="8">
        <f t="shared" si="32"/>
        <v>1516.625</v>
      </c>
      <c r="U139" s="8">
        <f t="shared" si="35"/>
        <v>1563.2140000000002</v>
      </c>
      <c r="V139" s="6"/>
      <c r="W139" s="8">
        <f t="shared" si="44"/>
        <v>-4.2999999999999545</v>
      </c>
      <c r="X139" s="6" t="str">
        <f t="shared" si="38"/>
        <v xml:space="preserve"> </v>
      </c>
      <c r="Y139" s="6">
        <f t="shared" si="39"/>
        <v>-4.2999999999999545</v>
      </c>
    </row>
    <row r="140" spans="1:25" x14ac:dyDescent="0.35">
      <c r="A140" s="13">
        <v>45749</v>
      </c>
      <c r="B140" s="15">
        <v>1921.35</v>
      </c>
      <c r="C140" s="11">
        <v>229.91</v>
      </c>
      <c r="D140" s="18">
        <v>1459</v>
      </c>
      <c r="E140" s="7">
        <f t="shared" si="45"/>
        <v>1901.0700000000002</v>
      </c>
      <c r="F140" s="7">
        <f t="shared" si="30"/>
        <v>1989.7774999999997</v>
      </c>
      <c r="G140" s="7">
        <f t="shared" si="33"/>
        <v>2005.2410000000004</v>
      </c>
      <c r="H140" s="4"/>
      <c r="I140" s="7">
        <f t="shared" si="40"/>
        <v>2.3499999999999091</v>
      </c>
      <c r="J140" s="4">
        <f t="shared" si="36"/>
        <v>2.3499999999999091</v>
      </c>
      <c r="K140" s="4" t="str">
        <f t="shared" si="37"/>
        <v xml:space="preserve"> </v>
      </c>
      <c r="L140" s="5">
        <f t="shared" si="46"/>
        <v>224.68800000000002</v>
      </c>
      <c r="M140" s="5">
        <f t="shared" si="31"/>
        <v>243.08650000000003</v>
      </c>
      <c r="N140" s="5">
        <f t="shared" si="34"/>
        <v>265.5376</v>
      </c>
      <c r="O140" s="5"/>
      <c r="P140" s="5">
        <f t="shared" si="41"/>
        <v>-0.72999999999998977</v>
      </c>
      <c r="Q140" s="5" t="str">
        <f t="shared" si="42"/>
        <v xml:space="preserve"> </v>
      </c>
      <c r="R140" s="5">
        <f t="shared" si="43"/>
        <v>-0.72999999999998977</v>
      </c>
      <c r="S140" s="8">
        <f t="shared" si="47"/>
        <v>1441.6299999999999</v>
      </c>
      <c r="T140" s="8">
        <f t="shared" si="32"/>
        <v>1513.155</v>
      </c>
      <c r="U140" s="8">
        <f t="shared" si="35"/>
        <v>1561.3340000000003</v>
      </c>
      <c r="V140" s="6"/>
      <c r="W140" s="8">
        <f t="shared" si="44"/>
        <v>12</v>
      </c>
      <c r="X140" s="6">
        <f t="shared" si="38"/>
        <v>12</v>
      </c>
      <c r="Y140" s="6" t="str">
        <f t="shared" si="39"/>
        <v xml:space="preserve"> </v>
      </c>
    </row>
    <row r="141" spans="1:25" x14ac:dyDescent="0.35">
      <c r="A141" s="13">
        <v>45748</v>
      </c>
      <c r="B141" s="15">
        <v>1941.9</v>
      </c>
      <c r="C141" s="11">
        <v>230.94</v>
      </c>
      <c r="D141" s="18">
        <v>1469</v>
      </c>
      <c r="E141" s="7">
        <f t="shared" si="45"/>
        <v>1908.7599999999998</v>
      </c>
      <c r="F141" s="7">
        <f t="shared" si="30"/>
        <v>1985.4224999999999</v>
      </c>
      <c r="G141" s="7">
        <f t="shared" si="33"/>
        <v>2003.5390000000002</v>
      </c>
      <c r="H141" s="4"/>
      <c r="I141" s="7">
        <f t="shared" si="40"/>
        <v>20.550000000000182</v>
      </c>
      <c r="J141" s="4">
        <f t="shared" si="36"/>
        <v>20.550000000000182</v>
      </c>
      <c r="K141" s="4" t="str">
        <f t="shared" si="37"/>
        <v xml:space="preserve"> </v>
      </c>
      <c r="L141" s="5">
        <f t="shared" si="46"/>
        <v>225.77799999999996</v>
      </c>
      <c r="M141" s="5">
        <f t="shared" si="31"/>
        <v>241.61099999999996</v>
      </c>
      <c r="N141" s="5">
        <f t="shared" si="34"/>
        <v>264.27639999999997</v>
      </c>
      <c r="O141" s="5"/>
      <c r="P141" s="5">
        <f t="shared" si="41"/>
        <v>1.0300000000000011</v>
      </c>
      <c r="Q141" s="5">
        <f t="shared" si="42"/>
        <v>1.0300000000000011</v>
      </c>
      <c r="R141" s="5" t="str">
        <f t="shared" si="43"/>
        <v xml:space="preserve"> </v>
      </c>
      <c r="S141" s="8">
        <f t="shared" si="47"/>
        <v>1441.53</v>
      </c>
      <c r="T141" s="8">
        <f t="shared" si="32"/>
        <v>1508.855</v>
      </c>
      <c r="U141" s="8">
        <f t="shared" si="35"/>
        <v>1559.3940000000002</v>
      </c>
      <c r="V141" s="6"/>
      <c r="W141" s="8">
        <f t="shared" si="44"/>
        <v>10</v>
      </c>
      <c r="X141" s="6">
        <f t="shared" si="38"/>
        <v>10</v>
      </c>
      <c r="Y141" s="6" t="str">
        <f t="shared" si="39"/>
        <v xml:space="preserve"> </v>
      </c>
    </row>
    <row r="142" spans="1:25" x14ac:dyDescent="0.35">
      <c r="A142" s="13">
        <v>45744</v>
      </c>
      <c r="B142" s="15">
        <v>2002.3</v>
      </c>
      <c r="C142" s="11">
        <v>227.03</v>
      </c>
      <c r="D142" s="18">
        <v>1525.5</v>
      </c>
      <c r="E142" s="7">
        <f t="shared" si="45"/>
        <v>1939.28</v>
      </c>
      <c r="F142" s="7">
        <f t="shared" si="30"/>
        <v>1987.8375000000001</v>
      </c>
      <c r="G142" s="7">
        <f t="shared" si="33"/>
        <v>2003.2850000000003</v>
      </c>
      <c r="H142" s="4"/>
      <c r="I142" s="7">
        <f t="shared" si="40"/>
        <v>60.399999999999864</v>
      </c>
      <c r="J142" s="4">
        <f t="shared" si="36"/>
        <v>60.399999999999864</v>
      </c>
      <c r="K142" s="4" t="str">
        <f t="shared" si="37"/>
        <v xml:space="preserve"> </v>
      </c>
      <c r="L142" s="5">
        <f t="shared" si="46"/>
        <v>228.214</v>
      </c>
      <c r="M142" s="5">
        <f t="shared" si="31"/>
        <v>240.04749999999996</v>
      </c>
      <c r="N142" s="5">
        <f t="shared" si="34"/>
        <v>262.91499999999996</v>
      </c>
      <c r="O142" s="5"/>
      <c r="P142" s="5">
        <f t="shared" si="41"/>
        <v>-3.9099999999999966</v>
      </c>
      <c r="Q142" s="5" t="str">
        <f t="shared" si="42"/>
        <v xml:space="preserve"> </v>
      </c>
      <c r="R142" s="5">
        <f t="shared" si="43"/>
        <v>-3.9099999999999966</v>
      </c>
      <c r="S142" s="8">
        <f t="shared" si="47"/>
        <v>1470.3600000000001</v>
      </c>
      <c r="T142" s="8">
        <f t="shared" si="32"/>
        <v>1510.8600000000001</v>
      </c>
      <c r="U142" s="8">
        <f t="shared" si="35"/>
        <v>1558.8040000000003</v>
      </c>
      <c r="V142" s="6"/>
      <c r="W142" s="8">
        <f t="shared" si="44"/>
        <v>56.5</v>
      </c>
      <c r="X142" s="6">
        <f t="shared" si="38"/>
        <v>56.5</v>
      </c>
      <c r="Y142" s="6" t="str">
        <f t="shared" si="39"/>
        <v xml:space="preserve"> </v>
      </c>
    </row>
    <row r="143" spans="1:25" x14ac:dyDescent="0.35">
      <c r="A143" s="13">
        <v>45743</v>
      </c>
      <c r="B143" s="15">
        <v>1999</v>
      </c>
      <c r="C143" s="11">
        <v>225.2</v>
      </c>
      <c r="D143" s="18">
        <v>1528</v>
      </c>
      <c r="E143" s="7">
        <f t="shared" si="45"/>
        <v>1956.7099999999998</v>
      </c>
      <c r="F143" s="7">
        <f t="shared" si="30"/>
        <v>1990.2375000000004</v>
      </c>
      <c r="G143" s="7">
        <f t="shared" si="33"/>
        <v>2002.8230000000005</v>
      </c>
      <c r="H143" s="4"/>
      <c r="I143" s="7">
        <f t="shared" si="40"/>
        <v>-3.2999999999999545</v>
      </c>
      <c r="J143" s="4" t="str">
        <f t="shared" si="36"/>
        <v xml:space="preserve"> </v>
      </c>
      <c r="K143" s="4">
        <f t="shared" si="37"/>
        <v>-3.2999999999999545</v>
      </c>
      <c r="L143" s="5">
        <f t="shared" si="46"/>
        <v>228.744</v>
      </c>
      <c r="M143" s="5">
        <f t="shared" si="31"/>
        <v>238.35349999999994</v>
      </c>
      <c r="N143" s="5">
        <f t="shared" si="34"/>
        <v>261.49600000000004</v>
      </c>
      <c r="O143" s="5"/>
      <c r="P143" s="5">
        <f t="shared" si="41"/>
        <v>-1.8300000000000125</v>
      </c>
      <c r="Q143" s="5" t="str">
        <f t="shared" si="42"/>
        <v xml:space="preserve"> </v>
      </c>
      <c r="R143" s="5">
        <f t="shared" si="43"/>
        <v>-1.8300000000000125</v>
      </c>
      <c r="S143" s="8">
        <f t="shared" si="47"/>
        <v>1485.7</v>
      </c>
      <c r="T143" s="8">
        <f t="shared" si="32"/>
        <v>1512.7549999999999</v>
      </c>
      <c r="U143" s="8">
        <f t="shared" si="35"/>
        <v>1557.7560000000003</v>
      </c>
      <c r="V143" s="6"/>
      <c r="W143" s="8">
        <f t="shared" si="44"/>
        <v>2.5</v>
      </c>
      <c r="X143" s="6">
        <f t="shared" si="38"/>
        <v>2.5</v>
      </c>
      <c r="Y143" s="6" t="str">
        <f t="shared" si="39"/>
        <v xml:space="preserve"> </v>
      </c>
    </row>
    <row r="144" spans="1:25" x14ac:dyDescent="0.35">
      <c r="A144" s="13">
        <v>45742</v>
      </c>
      <c r="B144" s="15">
        <v>1935</v>
      </c>
      <c r="C144" s="11">
        <v>222.17</v>
      </c>
      <c r="D144" s="18">
        <v>1518</v>
      </c>
      <c r="E144" s="7">
        <f t="shared" si="45"/>
        <v>1959.9099999999999</v>
      </c>
      <c r="F144" s="7">
        <f t="shared" si="30"/>
        <v>1983.7974999999999</v>
      </c>
      <c r="G144" s="7">
        <f t="shared" si="33"/>
        <v>2001.2830000000001</v>
      </c>
      <c r="H144" s="4"/>
      <c r="I144" s="7">
        <f t="shared" si="40"/>
        <v>-64</v>
      </c>
      <c r="J144" s="4" t="str">
        <f t="shared" si="36"/>
        <v xml:space="preserve"> </v>
      </c>
      <c r="K144" s="4">
        <f t="shared" si="37"/>
        <v>-64</v>
      </c>
      <c r="L144" s="5">
        <f t="shared" si="46"/>
        <v>227.05</v>
      </c>
      <c r="M144" s="5">
        <f t="shared" si="31"/>
        <v>236.58699999999999</v>
      </c>
      <c r="N144" s="5">
        <f t="shared" si="34"/>
        <v>259.88740000000001</v>
      </c>
      <c r="O144" s="5"/>
      <c r="P144" s="5">
        <f t="shared" si="41"/>
        <v>-3.0300000000000011</v>
      </c>
      <c r="Q144" s="5" t="str">
        <f t="shared" si="42"/>
        <v xml:space="preserve"> </v>
      </c>
      <c r="R144" s="5">
        <f t="shared" si="43"/>
        <v>-3.0300000000000011</v>
      </c>
      <c r="S144" s="8">
        <f t="shared" si="47"/>
        <v>1499.9</v>
      </c>
      <c r="T144" s="8">
        <f t="shared" si="32"/>
        <v>1514.5549999999998</v>
      </c>
      <c r="U144" s="8">
        <f t="shared" si="35"/>
        <v>1555.9360000000001</v>
      </c>
      <c r="V144" s="6"/>
      <c r="W144" s="8">
        <f t="shared" si="44"/>
        <v>-10</v>
      </c>
      <c r="X144" s="6" t="str">
        <f t="shared" si="38"/>
        <v xml:space="preserve"> </v>
      </c>
      <c r="Y144" s="6">
        <f t="shared" si="39"/>
        <v>-10</v>
      </c>
    </row>
    <row r="145" spans="1:25" x14ac:dyDescent="0.35">
      <c r="A145" s="13">
        <v>45741</v>
      </c>
      <c r="B145" s="15">
        <v>1935.45</v>
      </c>
      <c r="C145" s="11">
        <v>226.9</v>
      </c>
      <c r="D145" s="18">
        <v>1525</v>
      </c>
      <c r="E145" s="7">
        <f t="shared" si="45"/>
        <v>1962.73</v>
      </c>
      <c r="F145" s="7">
        <f t="shared" si="30"/>
        <v>1978.0699999999997</v>
      </c>
      <c r="G145" s="7">
        <f t="shared" si="33"/>
        <v>2000.0420000000004</v>
      </c>
      <c r="H145" s="4"/>
      <c r="I145" s="7">
        <f t="shared" si="40"/>
        <v>0.45000000000004547</v>
      </c>
      <c r="J145" s="4">
        <f t="shared" si="36"/>
        <v>0.45000000000004547</v>
      </c>
      <c r="K145" s="4" t="str">
        <f t="shared" si="37"/>
        <v xml:space="preserve"> </v>
      </c>
      <c r="L145" s="5">
        <f t="shared" si="46"/>
        <v>226.44800000000001</v>
      </c>
      <c r="M145" s="5">
        <f t="shared" si="31"/>
        <v>235.03199999999998</v>
      </c>
      <c r="N145" s="5">
        <f t="shared" si="34"/>
        <v>258.37740000000002</v>
      </c>
      <c r="O145" s="5"/>
      <c r="P145" s="5">
        <f t="shared" si="41"/>
        <v>4.7300000000000182</v>
      </c>
      <c r="Q145" s="5">
        <f t="shared" si="42"/>
        <v>4.7300000000000182</v>
      </c>
      <c r="R145" s="5" t="str">
        <f t="shared" si="43"/>
        <v xml:space="preserve"> </v>
      </c>
      <c r="S145" s="8">
        <f t="shared" si="47"/>
        <v>1513.1</v>
      </c>
      <c r="T145" s="8">
        <f t="shared" si="32"/>
        <v>1514.78</v>
      </c>
      <c r="U145" s="8">
        <f t="shared" si="35"/>
        <v>1553.8339999999998</v>
      </c>
      <c r="V145" s="6"/>
      <c r="W145" s="8">
        <f t="shared" si="44"/>
        <v>7</v>
      </c>
      <c r="X145" s="6">
        <f t="shared" si="38"/>
        <v>7</v>
      </c>
      <c r="Y145" s="6" t="str">
        <f t="shared" si="39"/>
        <v xml:space="preserve"> </v>
      </c>
    </row>
    <row r="146" spans="1:25" x14ac:dyDescent="0.35">
      <c r="A146" s="13">
        <v>45740</v>
      </c>
      <c r="B146" s="15">
        <v>1895.35</v>
      </c>
      <c r="C146" s="11">
        <v>232.9</v>
      </c>
      <c r="D146" s="18">
        <v>1532</v>
      </c>
      <c r="E146" s="7">
        <f t="shared" si="45"/>
        <v>1953.42</v>
      </c>
      <c r="F146" s="7">
        <f t="shared" si="30"/>
        <v>1970.5874999999996</v>
      </c>
      <c r="G146" s="7">
        <f t="shared" si="33"/>
        <v>1997.5290000000005</v>
      </c>
      <c r="H146" s="4"/>
      <c r="I146" s="7">
        <f t="shared" si="40"/>
        <v>-40.100000000000136</v>
      </c>
      <c r="J146" s="4" t="str">
        <f t="shared" si="36"/>
        <v xml:space="preserve"> </v>
      </c>
      <c r="K146" s="4">
        <f t="shared" si="37"/>
        <v>-40.100000000000136</v>
      </c>
      <c r="L146" s="5">
        <f t="shared" si="46"/>
        <v>226.84</v>
      </c>
      <c r="M146" s="5">
        <f t="shared" si="31"/>
        <v>234.05749999999998</v>
      </c>
      <c r="N146" s="5">
        <f t="shared" si="34"/>
        <v>256.9264</v>
      </c>
      <c r="O146" s="5"/>
      <c r="P146" s="5">
        <f t="shared" si="41"/>
        <v>6</v>
      </c>
      <c r="Q146" s="5">
        <f t="shared" si="42"/>
        <v>6</v>
      </c>
      <c r="R146" s="5" t="str">
        <f t="shared" si="43"/>
        <v xml:space="preserve"> </v>
      </c>
      <c r="S146" s="8">
        <f t="shared" si="47"/>
        <v>1525.7</v>
      </c>
      <c r="T146" s="8">
        <f t="shared" si="32"/>
        <v>1514.95</v>
      </c>
      <c r="U146" s="8">
        <f t="shared" si="35"/>
        <v>1551.6319999999998</v>
      </c>
      <c r="V146" s="6"/>
      <c r="W146" s="8">
        <f t="shared" si="44"/>
        <v>7</v>
      </c>
      <c r="X146" s="6">
        <f t="shared" si="38"/>
        <v>7</v>
      </c>
      <c r="Y146" s="6" t="str">
        <f t="shared" si="39"/>
        <v xml:space="preserve"> </v>
      </c>
    </row>
    <row r="147" spans="1:25" x14ac:dyDescent="0.35">
      <c r="A147" s="13">
        <v>45737</v>
      </c>
      <c r="B147" s="15">
        <v>1842</v>
      </c>
      <c r="C147" s="11">
        <v>229.58</v>
      </c>
      <c r="D147" s="18">
        <v>1540.9</v>
      </c>
      <c r="E147" s="7">
        <f t="shared" si="45"/>
        <v>1921.36</v>
      </c>
      <c r="F147" s="7">
        <f t="shared" si="30"/>
        <v>1957.5224999999996</v>
      </c>
      <c r="G147" s="7">
        <f t="shared" si="33"/>
        <v>1994.5950000000003</v>
      </c>
      <c r="H147" s="4"/>
      <c r="I147" s="7">
        <f t="shared" si="40"/>
        <v>-53.349999999999909</v>
      </c>
      <c r="J147" s="4" t="str">
        <f t="shared" si="36"/>
        <v xml:space="preserve"> </v>
      </c>
      <c r="K147" s="4">
        <f t="shared" si="37"/>
        <v>-53.349999999999909</v>
      </c>
      <c r="L147" s="5">
        <f t="shared" si="46"/>
        <v>227.35</v>
      </c>
      <c r="M147" s="5">
        <f t="shared" si="31"/>
        <v>232.58949999999996</v>
      </c>
      <c r="N147" s="5">
        <f t="shared" si="34"/>
        <v>255.636</v>
      </c>
      <c r="O147" s="5"/>
      <c r="P147" s="5">
        <f t="shared" si="41"/>
        <v>-3.3199999999999932</v>
      </c>
      <c r="Q147" s="5" t="str">
        <f t="shared" si="42"/>
        <v xml:space="preserve"> </v>
      </c>
      <c r="R147" s="5">
        <f t="shared" si="43"/>
        <v>-3.3199999999999932</v>
      </c>
      <c r="S147" s="8">
        <f t="shared" si="47"/>
        <v>1528.78</v>
      </c>
      <c r="T147" s="8">
        <f t="shared" si="32"/>
        <v>1514.145</v>
      </c>
      <c r="U147" s="8">
        <f t="shared" si="35"/>
        <v>1550.6299999999997</v>
      </c>
      <c r="V147" s="6"/>
      <c r="W147" s="8">
        <f t="shared" si="44"/>
        <v>8.9000000000000909</v>
      </c>
      <c r="X147" s="6">
        <f t="shared" si="38"/>
        <v>8.9000000000000909</v>
      </c>
      <c r="Y147" s="6" t="str">
        <f t="shared" si="39"/>
        <v xml:space="preserve"> </v>
      </c>
    </row>
    <row r="148" spans="1:25" x14ac:dyDescent="0.35">
      <c r="A148" s="13">
        <v>45736</v>
      </c>
      <c r="B148" s="15">
        <v>1852</v>
      </c>
      <c r="C148" s="11">
        <v>232</v>
      </c>
      <c r="D148" s="18">
        <v>1497</v>
      </c>
      <c r="E148" s="7">
        <f t="shared" si="45"/>
        <v>1891.9599999999998</v>
      </c>
      <c r="F148" s="7">
        <f t="shared" si="30"/>
        <v>1945.2574999999997</v>
      </c>
      <c r="G148" s="7">
        <f t="shared" si="33"/>
        <v>1992.7370000000003</v>
      </c>
      <c r="H148" s="4"/>
      <c r="I148" s="7">
        <f t="shared" si="40"/>
        <v>10</v>
      </c>
      <c r="J148" s="4">
        <f t="shared" si="36"/>
        <v>10</v>
      </c>
      <c r="K148" s="4" t="str">
        <f t="shared" si="37"/>
        <v xml:space="preserve"> </v>
      </c>
      <c r="L148" s="5">
        <f t="shared" si="46"/>
        <v>228.71000000000004</v>
      </c>
      <c r="M148" s="5">
        <f t="shared" si="31"/>
        <v>231.28849999999997</v>
      </c>
      <c r="N148" s="5">
        <f t="shared" si="34"/>
        <v>254.45399999999998</v>
      </c>
      <c r="O148" s="5"/>
      <c r="P148" s="5">
        <f t="shared" si="41"/>
        <v>2.4199999999999875</v>
      </c>
      <c r="Q148" s="5">
        <f t="shared" si="42"/>
        <v>2.4199999999999875</v>
      </c>
      <c r="R148" s="5" t="str">
        <f t="shared" si="43"/>
        <v xml:space="preserve"> </v>
      </c>
      <c r="S148" s="8">
        <f t="shared" si="47"/>
        <v>1522.58</v>
      </c>
      <c r="T148" s="8">
        <f t="shared" si="32"/>
        <v>1510.5450000000001</v>
      </c>
      <c r="U148" s="8">
        <f t="shared" si="35"/>
        <v>1550.2759999999998</v>
      </c>
      <c r="V148" s="6"/>
      <c r="W148" s="8">
        <f t="shared" si="44"/>
        <v>-43.900000000000091</v>
      </c>
      <c r="X148" s="6" t="str">
        <f t="shared" si="38"/>
        <v xml:space="preserve"> </v>
      </c>
      <c r="Y148" s="6">
        <f t="shared" si="39"/>
        <v>-43.900000000000091</v>
      </c>
    </row>
    <row r="149" spans="1:25" x14ac:dyDescent="0.35">
      <c r="A149" s="13">
        <v>45735</v>
      </c>
      <c r="B149" s="15">
        <v>1841</v>
      </c>
      <c r="C149" s="11">
        <v>228.1</v>
      </c>
      <c r="D149" s="18">
        <v>1511.6</v>
      </c>
      <c r="E149" s="7">
        <f t="shared" si="45"/>
        <v>1873.1599999999999</v>
      </c>
      <c r="F149" s="7">
        <f t="shared" si="30"/>
        <v>1933.6075000000001</v>
      </c>
      <c r="G149" s="7">
        <f t="shared" si="33"/>
        <v>1990.3670000000004</v>
      </c>
      <c r="H149" s="4"/>
      <c r="I149" s="7">
        <f t="shared" si="40"/>
        <v>-11</v>
      </c>
      <c r="J149" s="4" t="str">
        <f t="shared" si="36"/>
        <v xml:space="preserve"> </v>
      </c>
      <c r="K149" s="4">
        <f t="shared" si="37"/>
        <v>-11</v>
      </c>
      <c r="L149" s="5">
        <f t="shared" si="46"/>
        <v>229.89600000000002</v>
      </c>
      <c r="M149" s="5">
        <f t="shared" si="31"/>
        <v>230.16350000000003</v>
      </c>
      <c r="N149" s="5">
        <f t="shared" si="34"/>
        <v>253.20399999999998</v>
      </c>
      <c r="O149" s="5"/>
      <c r="P149" s="5">
        <f t="shared" si="41"/>
        <v>-3.9000000000000057</v>
      </c>
      <c r="Q149" s="5" t="str">
        <f t="shared" si="42"/>
        <v xml:space="preserve"> </v>
      </c>
      <c r="R149" s="5">
        <f t="shared" si="43"/>
        <v>-3.9000000000000057</v>
      </c>
      <c r="S149" s="8">
        <f t="shared" si="47"/>
        <v>1521.3</v>
      </c>
      <c r="T149" s="8">
        <f t="shared" si="32"/>
        <v>1508.075</v>
      </c>
      <c r="U149" s="8">
        <f t="shared" si="35"/>
        <v>1550.2279999999998</v>
      </c>
      <c r="V149" s="6"/>
      <c r="W149" s="8">
        <f t="shared" si="44"/>
        <v>14.599999999999909</v>
      </c>
      <c r="X149" s="6">
        <f t="shared" si="38"/>
        <v>14.599999999999909</v>
      </c>
      <c r="Y149" s="6" t="str">
        <f t="shared" si="39"/>
        <v xml:space="preserve"> </v>
      </c>
    </row>
    <row r="150" spans="1:25" x14ac:dyDescent="0.35">
      <c r="A150" s="13">
        <v>45734</v>
      </c>
      <c r="B150" s="15">
        <v>1846.5</v>
      </c>
      <c r="C150" s="11">
        <v>225.21</v>
      </c>
      <c r="D150" s="18">
        <v>1508.4</v>
      </c>
      <c r="E150" s="7">
        <f t="shared" si="45"/>
        <v>1855.3700000000001</v>
      </c>
      <c r="F150" s="7">
        <f t="shared" ref="F150:F213" si="48">AVERAGE(B131:B150)</f>
        <v>1920.6325000000002</v>
      </c>
      <c r="G150" s="7">
        <f t="shared" si="33"/>
        <v>1987.4250000000002</v>
      </c>
      <c r="H150" s="4"/>
      <c r="I150" s="7">
        <f t="shared" si="40"/>
        <v>5.5</v>
      </c>
      <c r="J150" s="4">
        <f t="shared" si="36"/>
        <v>5.5</v>
      </c>
      <c r="K150" s="4" t="str">
        <f t="shared" si="37"/>
        <v xml:space="preserve"> </v>
      </c>
      <c r="L150" s="5">
        <f t="shared" si="46"/>
        <v>229.55799999999999</v>
      </c>
      <c r="M150" s="5">
        <f t="shared" ref="M150:M213" si="49">AVERAGE(C131:C150)</f>
        <v>229.12600000000003</v>
      </c>
      <c r="N150" s="5">
        <f t="shared" si="34"/>
        <v>252.03219999999999</v>
      </c>
      <c r="O150" s="5"/>
      <c r="P150" s="5">
        <f t="shared" si="41"/>
        <v>-2.8899999999999864</v>
      </c>
      <c r="Q150" s="5" t="str">
        <f t="shared" si="42"/>
        <v xml:space="preserve"> </v>
      </c>
      <c r="R150" s="5">
        <f t="shared" si="43"/>
        <v>-2.8899999999999864</v>
      </c>
      <c r="S150" s="8">
        <f t="shared" si="47"/>
        <v>1517.98</v>
      </c>
      <c r="T150" s="8">
        <f t="shared" ref="T150:T213" si="50">AVERAGE(D131:D150)</f>
        <v>1500.55</v>
      </c>
      <c r="U150" s="8">
        <f t="shared" si="35"/>
        <v>1549.0839999999996</v>
      </c>
      <c r="V150" s="6"/>
      <c r="W150" s="8">
        <f t="shared" si="44"/>
        <v>-3.1999999999998181</v>
      </c>
      <c r="X150" s="6" t="str">
        <f t="shared" si="38"/>
        <v xml:space="preserve"> </v>
      </c>
      <c r="Y150" s="6">
        <f t="shared" si="39"/>
        <v>-3.1999999999998181</v>
      </c>
    </row>
    <row r="151" spans="1:25" x14ac:dyDescent="0.35">
      <c r="A151" s="13">
        <v>45733</v>
      </c>
      <c r="B151" s="15">
        <v>1875.1</v>
      </c>
      <c r="C151" s="11">
        <v>219.58</v>
      </c>
      <c r="D151" s="18">
        <v>1458.75</v>
      </c>
      <c r="E151" s="7">
        <f t="shared" si="45"/>
        <v>1851.3200000000002</v>
      </c>
      <c r="F151" s="7">
        <f t="shared" si="48"/>
        <v>1912.8375000000001</v>
      </c>
      <c r="G151" s="7">
        <f t="shared" si="33"/>
        <v>1984.4030000000005</v>
      </c>
      <c r="H151" s="4"/>
      <c r="I151" s="7">
        <f t="shared" si="40"/>
        <v>28.599999999999909</v>
      </c>
      <c r="J151" s="4">
        <f t="shared" si="36"/>
        <v>28.599999999999909</v>
      </c>
      <c r="K151" s="4" t="str">
        <f t="shared" si="37"/>
        <v xml:space="preserve"> </v>
      </c>
      <c r="L151" s="5">
        <f t="shared" si="46"/>
        <v>226.89400000000001</v>
      </c>
      <c r="M151" s="5">
        <f t="shared" si="49"/>
        <v>227.79500000000002</v>
      </c>
      <c r="N151" s="5">
        <f t="shared" si="34"/>
        <v>250.68979999999996</v>
      </c>
      <c r="O151" s="5"/>
      <c r="P151" s="5">
        <f t="shared" si="41"/>
        <v>-5.6299999999999955</v>
      </c>
      <c r="Q151" s="5" t="str">
        <f t="shared" si="42"/>
        <v xml:space="preserve"> </v>
      </c>
      <c r="R151" s="5">
        <f t="shared" si="43"/>
        <v>-5.6299999999999955</v>
      </c>
      <c r="S151" s="8">
        <f t="shared" si="47"/>
        <v>1503.33</v>
      </c>
      <c r="T151" s="8">
        <f t="shared" si="50"/>
        <v>1494.0825</v>
      </c>
      <c r="U151" s="8">
        <f t="shared" si="35"/>
        <v>1546.5309999999997</v>
      </c>
      <c r="V151" s="6"/>
      <c r="W151" s="8">
        <f t="shared" si="44"/>
        <v>-49.650000000000091</v>
      </c>
      <c r="X151" s="6" t="str">
        <f t="shared" si="38"/>
        <v xml:space="preserve"> </v>
      </c>
      <c r="Y151" s="6">
        <f t="shared" si="39"/>
        <v>-49.650000000000091</v>
      </c>
    </row>
    <row r="152" spans="1:25" x14ac:dyDescent="0.35">
      <c r="A152" s="13">
        <v>45729</v>
      </c>
      <c r="B152" s="15">
        <v>1807</v>
      </c>
      <c r="C152" s="11">
        <v>223.1</v>
      </c>
      <c r="D152" s="18">
        <v>1437</v>
      </c>
      <c r="E152" s="7">
        <f t="shared" si="45"/>
        <v>1844.3200000000002</v>
      </c>
      <c r="F152" s="7">
        <f t="shared" si="48"/>
        <v>1904.7625</v>
      </c>
      <c r="G152" s="7">
        <f t="shared" si="33"/>
        <v>1980.3130000000006</v>
      </c>
      <c r="H152" s="4"/>
      <c r="I152" s="7">
        <f t="shared" si="40"/>
        <v>-68.099999999999909</v>
      </c>
      <c r="J152" s="4" t="str">
        <f t="shared" si="36"/>
        <v xml:space="preserve"> </v>
      </c>
      <c r="K152" s="4">
        <f t="shared" si="37"/>
        <v>-68.099999999999909</v>
      </c>
      <c r="L152" s="5">
        <f t="shared" si="46"/>
        <v>225.59800000000001</v>
      </c>
      <c r="M152" s="5">
        <f t="shared" si="49"/>
        <v>226.83500000000004</v>
      </c>
      <c r="N152" s="5">
        <f t="shared" si="34"/>
        <v>249.42779999999999</v>
      </c>
      <c r="O152" s="5"/>
      <c r="P152" s="5">
        <f t="shared" si="41"/>
        <v>3.5199999999999818</v>
      </c>
      <c r="Q152" s="5">
        <f t="shared" si="42"/>
        <v>3.5199999999999818</v>
      </c>
      <c r="R152" s="5" t="str">
        <f t="shared" si="43"/>
        <v xml:space="preserve"> </v>
      </c>
      <c r="S152" s="8">
        <f t="shared" si="47"/>
        <v>1482.55</v>
      </c>
      <c r="T152" s="8">
        <f t="shared" si="50"/>
        <v>1486.0825</v>
      </c>
      <c r="U152" s="8">
        <f t="shared" si="35"/>
        <v>1543.3209999999997</v>
      </c>
      <c r="V152" s="6"/>
      <c r="W152" s="8">
        <f t="shared" si="44"/>
        <v>-21.75</v>
      </c>
      <c r="X152" s="6" t="str">
        <f t="shared" si="38"/>
        <v xml:space="preserve"> </v>
      </c>
      <c r="Y152" s="6">
        <f t="shared" si="39"/>
        <v>-21.75</v>
      </c>
    </row>
    <row r="153" spans="1:25" x14ac:dyDescent="0.35">
      <c r="A153" s="13">
        <v>45728</v>
      </c>
      <c r="B153" s="15">
        <v>1822</v>
      </c>
      <c r="C153" s="11">
        <v>225.91</v>
      </c>
      <c r="D153" s="18">
        <v>1444</v>
      </c>
      <c r="E153" s="7">
        <f t="shared" si="45"/>
        <v>1838.3200000000002</v>
      </c>
      <c r="F153" s="7">
        <f t="shared" si="48"/>
        <v>1897.3125</v>
      </c>
      <c r="G153" s="7">
        <f t="shared" si="33"/>
        <v>1976.4510000000007</v>
      </c>
      <c r="H153" s="4"/>
      <c r="I153" s="7">
        <f t="shared" si="40"/>
        <v>15</v>
      </c>
      <c r="J153" s="4">
        <f t="shared" si="36"/>
        <v>15</v>
      </c>
      <c r="K153" s="4" t="str">
        <f t="shared" si="37"/>
        <v xml:space="preserve"> </v>
      </c>
      <c r="L153" s="5">
        <f t="shared" si="46"/>
        <v>224.38000000000002</v>
      </c>
      <c r="M153" s="5">
        <f t="shared" si="49"/>
        <v>226.17800000000003</v>
      </c>
      <c r="N153" s="5">
        <f t="shared" si="34"/>
        <v>248.178</v>
      </c>
      <c r="O153" s="5"/>
      <c r="P153" s="5">
        <f t="shared" si="41"/>
        <v>2.8100000000000023</v>
      </c>
      <c r="Q153" s="5">
        <f t="shared" si="42"/>
        <v>2.8100000000000023</v>
      </c>
      <c r="R153" s="5" t="str">
        <f t="shared" si="43"/>
        <v xml:space="preserve"> </v>
      </c>
      <c r="S153" s="8">
        <f t="shared" si="47"/>
        <v>1471.95</v>
      </c>
      <c r="T153" s="8">
        <f t="shared" si="50"/>
        <v>1480.2825</v>
      </c>
      <c r="U153" s="8">
        <f t="shared" si="35"/>
        <v>1539.905</v>
      </c>
      <c r="V153" s="6"/>
      <c r="W153" s="8">
        <f t="shared" si="44"/>
        <v>7</v>
      </c>
      <c r="X153" s="6">
        <f t="shared" si="38"/>
        <v>7</v>
      </c>
      <c r="Y153" s="6" t="str">
        <f t="shared" si="39"/>
        <v xml:space="preserve"> </v>
      </c>
    </row>
    <row r="154" spans="1:25" x14ac:dyDescent="0.35">
      <c r="A154" s="13">
        <v>45727</v>
      </c>
      <c r="B154" s="15">
        <v>1808.2</v>
      </c>
      <c r="C154" s="11">
        <v>218.75</v>
      </c>
      <c r="D154" s="18">
        <v>1455</v>
      </c>
      <c r="E154" s="7">
        <f t="shared" si="45"/>
        <v>1831.7600000000002</v>
      </c>
      <c r="F154" s="7">
        <f t="shared" si="48"/>
        <v>1890.4074999999998</v>
      </c>
      <c r="G154" s="7">
        <f t="shared" si="33"/>
        <v>1972.1970000000003</v>
      </c>
      <c r="H154" s="4"/>
      <c r="I154" s="7">
        <f t="shared" si="40"/>
        <v>-13.799999999999955</v>
      </c>
      <c r="J154" s="4" t="str">
        <f t="shared" si="36"/>
        <v xml:space="preserve"> </v>
      </c>
      <c r="K154" s="4">
        <f t="shared" si="37"/>
        <v>-13.799999999999955</v>
      </c>
      <c r="L154" s="5">
        <f t="shared" si="46"/>
        <v>222.51</v>
      </c>
      <c r="M154" s="5">
        <f t="shared" si="49"/>
        <v>225.59549999999999</v>
      </c>
      <c r="N154" s="5">
        <f t="shared" si="34"/>
        <v>246.76300000000001</v>
      </c>
      <c r="O154" s="5"/>
      <c r="P154" s="5">
        <f t="shared" si="41"/>
        <v>-7.1599999999999966</v>
      </c>
      <c r="Q154" s="5" t="str">
        <f t="shared" si="42"/>
        <v xml:space="preserve"> </v>
      </c>
      <c r="R154" s="5">
        <f t="shared" si="43"/>
        <v>-7.1599999999999966</v>
      </c>
      <c r="S154" s="8">
        <f t="shared" si="47"/>
        <v>1460.6299999999999</v>
      </c>
      <c r="T154" s="8">
        <f t="shared" si="50"/>
        <v>1479.5875000000001</v>
      </c>
      <c r="U154" s="8">
        <f t="shared" si="35"/>
        <v>1536.0729999999999</v>
      </c>
      <c r="V154" s="6"/>
      <c r="W154" s="8">
        <f t="shared" si="44"/>
        <v>11</v>
      </c>
      <c r="X154" s="6">
        <f t="shared" si="38"/>
        <v>11</v>
      </c>
      <c r="Y154" s="6" t="str">
        <f t="shared" si="39"/>
        <v xml:space="preserve"> </v>
      </c>
    </row>
    <row r="155" spans="1:25" x14ac:dyDescent="0.35">
      <c r="A155" s="13">
        <v>45726</v>
      </c>
      <c r="B155" s="15">
        <v>1837.55</v>
      </c>
      <c r="C155" s="11">
        <v>215.85</v>
      </c>
      <c r="D155" s="18">
        <v>1412.05</v>
      </c>
      <c r="E155" s="7">
        <f t="shared" si="45"/>
        <v>1829.97</v>
      </c>
      <c r="F155" s="7">
        <f t="shared" si="48"/>
        <v>1887.2849999999999</v>
      </c>
      <c r="G155" s="7">
        <f t="shared" si="33"/>
        <v>1968.2480000000005</v>
      </c>
      <c r="H155" s="4"/>
      <c r="I155" s="7">
        <f t="shared" si="40"/>
        <v>29.349999999999909</v>
      </c>
      <c r="J155" s="4">
        <f t="shared" si="36"/>
        <v>29.349999999999909</v>
      </c>
      <c r="K155" s="4" t="str">
        <f t="shared" si="37"/>
        <v xml:space="preserve"> </v>
      </c>
      <c r="L155" s="5">
        <f t="shared" si="46"/>
        <v>220.63800000000001</v>
      </c>
      <c r="M155" s="5">
        <f t="shared" si="49"/>
        <v>225.333</v>
      </c>
      <c r="N155" s="5">
        <f t="shared" si="34"/>
        <v>245.227</v>
      </c>
      <c r="O155" s="5"/>
      <c r="P155" s="5">
        <f t="shared" si="41"/>
        <v>-2.9000000000000057</v>
      </c>
      <c r="Q155" s="5" t="str">
        <f t="shared" si="42"/>
        <v xml:space="preserve"> </v>
      </c>
      <c r="R155" s="5">
        <f t="shared" si="43"/>
        <v>-2.9000000000000057</v>
      </c>
      <c r="S155" s="8">
        <f t="shared" si="47"/>
        <v>1441.3600000000001</v>
      </c>
      <c r="T155" s="8">
        <f t="shared" si="50"/>
        <v>1478.5174999999999</v>
      </c>
      <c r="U155" s="8">
        <f t="shared" si="35"/>
        <v>1531.0160000000001</v>
      </c>
      <c r="V155" s="6"/>
      <c r="W155" s="8">
        <f t="shared" si="44"/>
        <v>-42.950000000000045</v>
      </c>
      <c r="X155" s="6" t="str">
        <f t="shared" si="38"/>
        <v xml:space="preserve"> </v>
      </c>
      <c r="Y155" s="6">
        <f t="shared" si="39"/>
        <v>-42.950000000000045</v>
      </c>
    </row>
    <row r="156" spans="1:25" x14ac:dyDescent="0.35">
      <c r="A156" s="13">
        <v>45723</v>
      </c>
      <c r="B156" s="15">
        <v>1839</v>
      </c>
      <c r="C156" s="11">
        <v>221.9</v>
      </c>
      <c r="D156" s="18">
        <v>1454</v>
      </c>
      <c r="E156" s="7">
        <f t="shared" si="45"/>
        <v>1822.75</v>
      </c>
      <c r="F156" s="7">
        <f t="shared" si="48"/>
        <v>1884.0625</v>
      </c>
      <c r="G156" s="7">
        <f t="shared" si="33"/>
        <v>1964.0100000000007</v>
      </c>
      <c r="H156" s="4"/>
      <c r="I156" s="7">
        <f t="shared" si="40"/>
        <v>1.4500000000000455</v>
      </c>
      <c r="J156" s="4">
        <f t="shared" si="36"/>
        <v>1.4500000000000455</v>
      </c>
      <c r="K156" s="4" t="str">
        <f t="shared" si="37"/>
        <v xml:space="preserve"> </v>
      </c>
      <c r="L156" s="5">
        <f t="shared" si="46"/>
        <v>221.102</v>
      </c>
      <c r="M156" s="5">
        <f t="shared" si="49"/>
        <v>225.15349999999998</v>
      </c>
      <c r="N156" s="5">
        <f t="shared" si="34"/>
        <v>244.03500000000003</v>
      </c>
      <c r="O156" s="5"/>
      <c r="P156" s="5">
        <f t="shared" si="41"/>
        <v>6.0500000000000114</v>
      </c>
      <c r="Q156" s="5">
        <f t="shared" si="42"/>
        <v>6.0500000000000114</v>
      </c>
      <c r="R156" s="5" t="str">
        <f t="shared" si="43"/>
        <v xml:space="preserve"> </v>
      </c>
      <c r="S156" s="8">
        <f t="shared" si="47"/>
        <v>1440.41</v>
      </c>
      <c r="T156" s="8">
        <f t="shared" si="50"/>
        <v>1477.7424999999998</v>
      </c>
      <c r="U156" s="8">
        <f t="shared" si="35"/>
        <v>1527.16</v>
      </c>
      <c r="V156" s="6"/>
      <c r="W156" s="8">
        <f t="shared" si="44"/>
        <v>41.950000000000045</v>
      </c>
      <c r="X156" s="6">
        <f t="shared" si="38"/>
        <v>41.950000000000045</v>
      </c>
      <c r="Y156" s="6" t="str">
        <f t="shared" si="39"/>
        <v xml:space="preserve"> </v>
      </c>
    </row>
    <row r="157" spans="1:25" x14ac:dyDescent="0.35">
      <c r="A157" s="13">
        <v>45722</v>
      </c>
      <c r="B157" s="15">
        <v>1842.5</v>
      </c>
      <c r="C157" s="11">
        <v>219.39</v>
      </c>
      <c r="D157" s="18">
        <v>1458.95</v>
      </c>
      <c r="E157" s="7">
        <f t="shared" si="45"/>
        <v>1829.85</v>
      </c>
      <c r="F157" s="7">
        <f t="shared" si="48"/>
        <v>1883.7025000000001</v>
      </c>
      <c r="G157" s="7">
        <f t="shared" si="33"/>
        <v>1960.0600000000004</v>
      </c>
      <c r="H157" s="4"/>
      <c r="I157" s="7">
        <f t="shared" si="40"/>
        <v>3.5</v>
      </c>
      <c r="J157" s="4">
        <f t="shared" si="36"/>
        <v>3.5</v>
      </c>
      <c r="K157" s="4" t="str">
        <f t="shared" si="37"/>
        <v xml:space="preserve"> </v>
      </c>
      <c r="L157" s="5">
        <f t="shared" si="46"/>
        <v>220.35999999999999</v>
      </c>
      <c r="M157" s="5">
        <f t="shared" si="49"/>
        <v>225.38049999999998</v>
      </c>
      <c r="N157" s="5">
        <f t="shared" si="34"/>
        <v>242.79480000000004</v>
      </c>
      <c r="O157" s="5"/>
      <c r="P157" s="5">
        <f t="shared" si="41"/>
        <v>-2.5100000000000193</v>
      </c>
      <c r="Q157" s="5" t="str">
        <f t="shared" si="42"/>
        <v xml:space="preserve"> </v>
      </c>
      <c r="R157" s="5">
        <f t="shared" si="43"/>
        <v>-2.5100000000000193</v>
      </c>
      <c r="S157" s="8">
        <f t="shared" si="47"/>
        <v>1444.8</v>
      </c>
      <c r="T157" s="8">
        <f t="shared" si="50"/>
        <v>1481.6224999999999</v>
      </c>
      <c r="U157" s="8">
        <f t="shared" si="35"/>
        <v>1523.8050000000001</v>
      </c>
      <c r="V157" s="6"/>
      <c r="W157" s="8">
        <f t="shared" si="44"/>
        <v>4.9500000000000455</v>
      </c>
      <c r="X157" s="6">
        <f t="shared" si="38"/>
        <v>4.9500000000000455</v>
      </c>
      <c r="Y157" s="6" t="str">
        <f t="shared" si="39"/>
        <v xml:space="preserve"> </v>
      </c>
    </row>
    <row r="158" spans="1:25" x14ac:dyDescent="0.35">
      <c r="A158" s="13">
        <v>45721</v>
      </c>
      <c r="B158" s="15">
        <v>1805.9</v>
      </c>
      <c r="C158" s="11">
        <v>217.6</v>
      </c>
      <c r="D158" s="18">
        <v>1443</v>
      </c>
      <c r="E158" s="7">
        <f t="shared" si="45"/>
        <v>1826.6299999999999</v>
      </c>
      <c r="F158" s="7">
        <f t="shared" si="48"/>
        <v>1878.405</v>
      </c>
      <c r="G158" s="7">
        <f t="shared" si="33"/>
        <v>1956.1020000000001</v>
      </c>
      <c r="H158" s="4"/>
      <c r="I158" s="7">
        <f t="shared" si="40"/>
        <v>-36.599999999999909</v>
      </c>
      <c r="J158" s="4" t="str">
        <f t="shared" si="36"/>
        <v xml:space="preserve"> </v>
      </c>
      <c r="K158" s="4">
        <f t="shared" si="37"/>
        <v>-36.599999999999909</v>
      </c>
      <c r="L158" s="5">
        <f t="shared" si="46"/>
        <v>218.69800000000001</v>
      </c>
      <c r="M158" s="5">
        <f t="shared" si="49"/>
        <v>225.13300000000004</v>
      </c>
      <c r="N158" s="5">
        <f t="shared" si="34"/>
        <v>241.6508</v>
      </c>
      <c r="O158" s="5"/>
      <c r="P158" s="5">
        <f t="shared" si="41"/>
        <v>-1.789999999999992</v>
      </c>
      <c r="Q158" s="5" t="str">
        <f t="shared" si="42"/>
        <v xml:space="preserve"> </v>
      </c>
      <c r="R158" s="5">
        <f t="shared" si="43"/>
        <v>-1.789999999999992</v>
      </c>
      <c r="S158" s="8">
        <f t="shared" si="47"/>
        <v>1444.6</v>
      </c>
      <c r="T158" s="8">
        <f t="shared" si="50"/>
        <v>1481.2075</v>
      </c>
      <c r="U158" s="8">
        <f t="shared" si="35"/>
        <v>1520.1010000000001</v>
      </c>
      <c r="V158" s="6"/>
      <c r="W158" s="8">
        <f t="shared" si="44"/>
        <v>-15.950000000000045</v>
      </c>
      <c r="X158" s="6" t="str">
        <f t="shared" si="38"/>
        <v xml:space="preserve"> </v>
      </c>
      <c r="Y158" s="6">
        <f t="shared" si="39"/>
        <v>-15.950000000000045</v>
      </c>
    </row>
    <row r="159" spans="1:25" x14ac:dyDescent="0.35">
      <c r="A159" s="13">
        <v>45720</v>
      </c>
      <c r="B159" s="15">
        <v>1789.9</v>
      </c>
      <c r="C159" s="11">
        <v>206.25</v>
      </c>
      <c r="D159" s="18">
        <v>1450</v>
      </c>
      <c r="E159" s="7">
        <f t="shared" si="45"/>
        <v>1822.97</v>
      </c>
      <c r="F159" s="7">
        <f t="shared" si="48"/>
        <v>1871.95</v>
      </c>
      <c r="G159" s="7">
        <f t="shared" si="33"/>
        <v>1951.2139999999999</v>
      </c>
      <c r="H159" s="4"/>
      <c r="I159" s="7">
        <f t="shared" si="40"/>
        <v>-16</v>
      </c>
      <c r="J159" s="4" t="str">
        <f t="shared" si="36"/>
        <v xml:space="preserve"> </v>
      </c>
      <c r="K159" s="4">
        <f t="shared" si="37"/>
        <v>-16</v>
      </c>
      <c r="L159" s="5">
        <f t="shared" si="46"/>
        <v>216.19800000000001</v>
      </c>
      <c r="M159" s="5">
        <f t="shared" si="49"/>
        <v>223.91349999999997</v>
      </c>
      <c r="N159" s="5">
        <f t="shared" si="34"/>
        <v>240.28479999999999</v>
      </c>
      <c r="O159" s="5"/>
      <c r="P159" s="5">
        <f t="shared" si="41"/>
        <v>-11.349999999999994</v>
      </c>
      <c r="Q159" s="5" t="str">
        <f t="shared" si="42"/>
        <v xml:space="preserve"> </v>
      </c>
      <c r="R159" s="5">
        <f t="shared" si="43"/>
        <v>-11.349999999999994</v>
      </c>
      <c r="S159" s="8">
        <f t="shared" si="47"/>
        <v>1443.6</v>
      </c>
      <c r="T159" s="8">
        <f t="shared" si="50"/>
        <v>1481.3575000000001</v>
      </c>
      <c r="U159" s="8">
        <f t="shared" si="35"/>
        <v>1516.0609999999997</v>
      </c>
      <c r="V159" s="6"/>
      <c r="W159" s="8">
        <f t="shared" si="44"/>
        <v>7</v>
      </c>
      <c r="X159" s="6">
        <f t="shared" si="38"/>
        <v>7</v>
      </c>
      <c r="Y159" s="6" t="str">
        <f t="shared" si="39"/>
        <v xml:space="preserve"> </v>
      </c>
    </row>
    <row r="160" spans="1:25" x14ac:dyDescent="0.35">
      <c r="A160" s="13">
        <v>45719</v>
      </c>
      <c r="B160" s="15">
        <v>1840</v>
      </c>
      <c r="C160" s="11">
        <v>201.3</v>
      </c>
      <c r="D160" s="18">
        <v>1424.75</v>
      </c>
      <c r="E160" s="7">
        <f t="shared" si="45"/>
        <v>1823.4599999999998</v>
      </c>
      <c r="F160" s="7">
        <f t="shared" si="48"/>
        <v>1867.8825000000002</v>
      </c>
      <c r="G160" s="7">
        <f t="shared" si="33"/>
        <v>1947.934</v>
      </c>
      <c r="H160" s="4"/>
      <c r="I160" s="7">
        <f t="shared" si="40"/>
        <v>50.099999999999909</v>
      </c>
      <c r="J160" s="4">
        <f t="shared" si="36"/>
        <v>50.099999999999909</v>
      </c>
      <c r="K160" s="4" t="str">
        <f t="shared" si="37"/>
        <v xml:space="preserve"> </v>
      </c>
      <c r="L160" s="5">
        <f t="shared" si="46"/>
        <v>213.28800000000001</v>
      </c>
      <c r="M160" s="5">
        <f t="shared" si="49"/>
        <v>222.483</v>
      </c>
      <c r="N160" s="5">
        <f t="shared" si="34"/>
        <v>238.87679999999992</v>
      </c>
      <c r="O160" s="5"/>
      <c r="P160" s="5">
        <f t="shared" si="41"/>
        <v>-4.9499999999999886</v>
      </c>
      <c r="Q160" s="5" t="str">
        <f t="shared" si="42"/>
        <v xml:space="preserve"> </v>
      </c>
      <c r="R160" s="5">
        <f t="shared" si="43"/>
        <v>-4.9499999999999886</v>
      </c>
      <c r="S160" s="8">
        <f t="shared" si="47"/>
        <v>1446.1399999999999</v>
      </c>
      <c r="T160" s="8">
        <f t="shared" si="50"/>
        <v>1479.645</v>
      </c>
      <c r="U160" s="8">
        <f t="shared" si="35"/>
        <v>1512.3359999999998</v>
      </c>
      <c r="V160" s="6"/>
      <c r="W160" s="8">
        <f t="shared" si="44"/>
        <v>-25.25</v>
      </c>
      <c r="X160" s="6" t="str">
        <f t="shared" si="38"/>
        <v xml:space="preserve"> </v>
      </c>
      <c r="Y160" s="6">
        <f t="shared" si="39"/>
        <v>-25.25</v>
      </c>
    </row>
    <row r="161" spans="1:25" x14ac:dyDescent="0.35">
      <c r="A161" s="13">
        <v>45716</v>
      </c>
      <c r="B161" s="15">
        <v>1870.2</v>
      </c>
      <c r="C161" s="11">
        <v>208.29</v>
      </c>
      <c r="D161" s="18">
        <v>1396.3</v>
      </c>
      <c r="E161" s="7">
        <f t="shared" si="45"/>
        <v>1829.7</v>
      </c>
      <c r="F161" s="7">
        <f t="shared" si="48"/>
        <v>1864.2974999999999</v>
      </c>
      <c r="G161" s="7">
        <f t="shared" si="33"/>
        <v>1944.5939999999996</v>
      </c>
      <c r="H161" s="4"/>
      <c r="I161" s="7">
        <f t="shared" si="40"/>
        <v>30.200000000000045</v>
      </c>
      <c r="J161" s="4">
        <f t="shared" si="36"/>
        <v>30.200000000000045</v>
      </c>
      <c r="K161" s="4" t="str">
        <f t="shared" si="37"/>
        <v xml:space="preserve"> </v>
      </c>
      <c r="L161" s="5">
        <f t="shared" si="46"/>
        <v>210.56599999999997</v>
      </c>
      <c r="M161" s="5">
        <f t="shared" si="49"/>
        <v>221.35049999999995</v>
      </c>
      <c r="N161" s="5">
        <f t="shared" si="34"/>
        <v>237.50560000000002</v>
      </c>
      <c r="O161" s="5"/>
      <c r="P161" s="5">
        <f t="shared" si="41"/>
        <v>6.9899999999999807</v>
      </c>
      <c r="Q161" s="5">
        <f t="shared" si="42"/>
        <v>6.9899999999999807</v>
      </c>
      <c r="R161" s="5" t="str">
        <f t="shared" si="43"/>
        <v xml:space="preserve"> </v>
      </c>
      <c r="S161" s="8">
        <f t="shared" si="47"/>
        <v>1434.6</v>
      </c>
      <c r="T161" s="8">
        <f t="shared" si="50"/>
        <v>1476.01</v>
      </c>
      <c r="U161" s="8">
        <f t="shared" si="35"/>
        <v>1507.5619999999999</v>
      </c>
      <c r="V161" s="6"/>
      <c r="W161" s="8">
        <f t="shared" si="44"/>
        <v>-28.450000000000045</v>
      </c>
      <c r="X161" s="6" t="str">
        <f t="shared" si="38"/>
        <v xml:space="preserve"> </v>
      </c>
      <c r="Y161" s="6">
        <f t="shared" si="39"/>
        <v>-28.450000000000045</v>
      </c>
    </row>
    <row r="162" spans="1:25" x14ac:dyDescent="0.35">
      <c r="A162" s="13">
        <v>45715</v>
      </c>
      <c r="B162" s="15">
        <v>1920.1</v>
      </c>
      <c r="C162" s="11">
        <v>221.77</v>
      </c>
      <c r="D162" s="18">
        <v>1435.05</v>
      </c>
      <c r="E162" s="7">
        <f t="shared" si="45"/>
        <v>1845.22</v>
      </c>
      <c r="F162" s="7">
        <f t="shared" si="48"/>
        <v>1860.1874999999995</v>
      </c>
      <c r="G162" s="7">
        <f t="shared" si="33"/>
        <v>1942.2760000000001</v>
      </c>
      <c r="H162" s="4"/>
      <c r="I162" s="7">
        <f t="shared" si="40"/>
        <v>49.899999999999864</v>
      </c>
      <c r="J162" s="4">
        <f t="shared" si="36"/>
        <v>49.899999999999864</v>
      </c>
      <c r="K162" s="4" t="str">
        <f t="shared" si="37"/>
        <v xml:space="preserve"> </v>
      </c>
      <c r="L162" s="5">
        <f t="shared" si="46"/>
        <v>211.042</v>
      </c>
      <c r="M162" s="5">
        <f t="shared" si="49"/>
        <v>221.08750000000001</v>
      </c>
      <c r="N162" s="5">
        <f t="shared" si="34"/>
        <v>236.41499999999999</v>
      </c>
      <c r="O162" s="5"/>
      <c r="P162" s="5">
        <f t="shared" si="41"/>
        <v>13.480000000000018</v>
      </c>
      <c r="Q162" s="5">
        <f t="shared" si="42"/>
        <v>13.480000000000018</v>
      </c>
      <c r="R162" s="5" t="str">
        <f t="shared" si="43"/>
        <v xml:space="preserve"> </v>
      </c>
      <c r="S162" s="8">
        <f t="shared" si="47"/>
        <v>1429.8200000000002</v>
      </c>
      <c r="T162" s="8">
        <f t="shared" si="50"/>
        <v>1471.4875</v>
      </c>
      <c r="U162" s="8">
        <f t="shared" si="35"/>
        <v>1503.9630000000002</v>
      </c>
      <c r="V162" s="6"/>
      <c r="W162" s="8">
        <f t="shared" si="44"/>
        <v>38.75</v>
      </c>
      <c r="X162" s="6">
        <f t="shared" si="38"/>
        <v>38.75</v>
      </c>
      <c r="Y162" s="6" t="str">
        <f t="shared" si="39"/>
        <v xml:space="preserve"> </v>
      </c>
    </row>
    <row r="163" spans="1:25" x14ac:dyDescent="0.35">
      <c r="A163" s="13">
        <v>45713</v>
      </c>
      <c r="B163" s="15">
        <v>1872</v>
      </c>
      <c r="C163" s="11">
        <v>225.65</v>
      </c>
      <c r="D163" s="18">
        <v>1368.55</v>
      </c>
      <c r="E163" s="7">
        <f t="shared" si="45"/>
        <v>1858.44</v>
      </c>
      <c r="F163" s="7">
        <f t="shared" si="48"/>
        <v>1853.8375000000001</v>
      </c>
      <c r="G163" s="7">
        <f t="shared" si="33"/>
        <v>1938.8759999999997</v>
      </c>
      <c r="H163" s="4"/>
      <c r="I163" s="7">
        <f t="shared" si="40"/>
        <v>-48.099999999999909</v>
      </c>
      <c r="J163" s="4" t="str">
        <f t="shared" si="36"/>
        <v xml:space="preserve"> </v>
      </c>
      <c r="K163" s="4">
        <f t="shared" si="37"/>
        <v>-48.099999999999909</v>
      </c>
      <c r="L163" s="5">
        <f t="shared" si="46"/>
        <v>212.65199999999999</v>
      </c>
      <c r="M163" s="5">
        <f t="shared" si="49"/>
        <v>221.10999999999999</v>
      </c>
      <c r="N163" s="5">
        <f t="shared" si="34"/>
        <v>235.44699999999997</v>
      </c>
      <c r="O163" s="5"/>
      <c r="P163" s="5">
        <f t="shared" si="41"/>
        <v>3.8799999999999955</v>
      </c>
      <c r="Q163" s="5">
        <f t="shared" si="42"/>
        <v>3.8799999999999955</v>
      </c>
      <c r="R163" s="5" t="str">
        <f t="shared" si="43"/>
        <v xml:space="preserve"> </v>
      </c>
      <c r="S163" s="8">
        <f t="shared" si="47"/>
        <v>1414.93</v>
      </c>
      <c r="T163" s="8">
        <f t="shared" si="50"/>
        <v>1463.5149999999999</v>
      </c>
      <c r="U163" s="8">
        <f t="shared" si="35"/>
        <v>1499.1340000000002</v>
      </c>
      <c r="V163" s="6"/>
      <c r="W163" s="8">
        <f t="shared" si="44"/>
        <v>-66.5</v>
      </c>
      <c r="X163" s="6" t="str">
        <f t="shared" si="38"/>
        <v xml:space="preserve"> </v>
      </c>
      <c r="Y163" s="6">
        <f t="shared" si="39"/>
        <v>-66.5</v>
      </c>
    </row>
    <row r="164" spans="1:25" x14ac:dyDescent="0.35">
      <c r="A164" s="13">
        <v>45712</v>
      </c>
      <c r="B164" s="15">
        <v>1862.45</v>
      </c>
      <c r="C164" s="11">
        <v>228.55</v>
      </c>
      <c r="D164" s="18">
        <v>1379.7</v>
      </c>
      <c r="E164" s="7">
        <f t="shared" si="45"/>
        <v>1872.95</v>
      </c>
      <c r="F164" s="7">
        <f t="shared" si="48"/>
        <v>1850.2100000000003</v>
      </c>
      <c r="G164" s="7">
        <f t="shared" si="33"/>
        <v>1935.7269999999999</v>
      </c>
      <c r="H164" s="4"/>
      <c r="I164" s="7">
        <f t="shared" si="40"/>
        <v>-9.5499999999999545</v>
      </c>
      <c r="J164" s="4" t="str">
        <f t="shared" si="36"/>
        <v xml:space="preserve"> </v>
      </c>
      <c r="K164" s="4">
        <f t="shared" si="37"/>
        <v>-9.5499999999999545</v>
      </c>
      <c r="L164" s="5">
        <f t="shared" si="46"/>
        <v>217.11199999999999</v>
      </c>
      <c r="M164" s="5">
        <f t="shared" si="49"/>
        <v>221.429</v>
      </c>
      <c r="N164" s="5">
        <f t="shared" si="34"/>
        <v>234.66199999999992</v>
      </c>
      <c r="O164" s="5"/>
      <c r="P164" s="5">
        <f t="shared" si="41"/>
        <v>2.9000000000000057</v>
      </c>
      <c r="Q164" s="5">
        <f t="shared" si="42"/>
        <v>2.9000000000000057</v>
      </c>
      <c r="R164" s="5" t="str">
        <f t="shared" si="43"/>
        <v xml:space="preserve"> </v>
      </c>
      <c r="S164" s="8">
        <f t="shared" si="47"/>
        <v>1400.8700000000001</v>
      </c>
      <c r="T164" s="8">
        <f t="shared" si="50"/>
        <v>1456.6</v>
      </c>
      <c r="U164" s="8">
        <f t="shared" si="35"/>
        <v>1494.7480000000003</v>
      </c>
      <c r="V164" s="6"/>
      <c r="W164" s="8">
        <f t="shared" si="44"/>
        <v>11.150000000000091</v>
      </c>
      <c r="X164" s="6">
        <f t="shared" si="38"/>
        <v>11.150000000000091</v>
      </c>
      <c r="Y164" s="6" t="str">
        <f t="shared" si="39"/>
        <v xml:space="preserve"> </v>
      </c>
    </row>
    <row r="165" spans="1:25" x14ac:dyDescent="0.35">
      <c r="A165" s="13">
        <v>45709</v>
      </c>
      <c r="B165" s="15">
        <v>1872.5</v>
      </c>
      <c r="C165" s="11">
        <v>233.2</v>
      </c>
      <c r="D165" s="18">
        <v>1385</v>
      </c>
      <c r="E165" s="7">
        <f t="shared" si="45"/>
        <v>1879.45</v>
      </c>
      <c r="F165" s="7">
        <f t="shared" si="48"/>
        <v>1847.0625</v>
      </c>
      <c r="G165" s="7">
        <f t="shared" si="33"/>
        <v>1932.7189999999996</v>
      </c>
      <c r="H165" s="4"/>
      <c r="I165" s="7">
        <f t="shared" si="40"/>
        <v>10.049999999999955</v>
      </c>
      <c r="J165" s="4">
        <f t="shared" si="36"/>
        <v>10.049999999999955</v>
      </c>
      <c r="K165" s="4" t="str">
        <f t="shared" si="37"/>
        <v xml:space="preserve"> </v>
      </c>
      <c r="L165" s="5">
        <f t="shared" si="46"/>
        <v>223.49200000000002</v>
      </c>
      <c r="M165" s="5">
        <f t="shared" si="49"/>
        <v>221.744</v>
      </c>
      <c r="N165" s="5">
        <f t="shared" si="34"/>
        <v>233.97199999999998</v>
      </c>
      <c r="O165" s="5"/>
      <c r="P165" s="5">
        <f t="shared" si="41"/>
        <v>4.6499999999999773</v>
      </c>
      <c r="Q165" s="5">
        <f t="shared" si="42"/>
        <v>4.6499999999999773</v>
      </c>
      <c r="R165" s="5" t="str">
        <f t="shared" si="43"/>
        <v xml:space="preserve"> </v>
      </c>
      <c r="S165" s="8">
        <f t="shared" si="47"/>
        <v>1392.9199999999998</v>
      </c>
      <c r="T165" s="8">
        <f t="shared" si="50"/>
        <v>1449.6</v>
      </c>
      <c r="U165" s="8">
        <f t="shared" si="35"/>
        <v>1490.8560000000004</v>
      </c>
      <c r="V165" s="6"/>
      <c r="W165" s="8">
        <f t="shared" si="44"/>
        <v>5.2999999999999545</v>
      </c>
      <c r="X165" s="6">
        <f t="shared" si="38"/>
        <v>5.2999999999999545</v>
      </c>
      <c r="Y165" s="6" t="str">
        <f t="shared" si="39"/>
        <v xml:space="preserve"> </v>
      </c>
    </row>
    <row r="166" spans="1:25" x14ac:dyDescent="0.35">
      <c r="A166" s="13">
        <v>45708</v>
      </c>
      <c r="B166" s="15">
        <v>1881.45</v>
      </c>
      <c r="C166" s="11">
        <v>235.4</v>
      </c>
      <c r="D166" s="18">
        <v>1397.95</v>
      </c>
      <c r="E166" s="7">
        <f t="shared" si="45"/>
        <v>1881.7</v>
      </c>
      <c r="F166" s="7">
        <f t="shared" si="48"/>
        <v>1846.3674999999998</v>
      </c>
      <c r="G166" s="7">
        <f t="shared" si="33"/>
        <v>1929.3879999999997</v>
      </c>
      <c r="H166" s="4"/>
      <c r="I166" s="7">
        <f t="shared" si="40"/>
        <v>8.9500000000000455</v>
      </c>
      <c r="J166" s="4">
        <f t="shared" si="36"/>
        <v>8.9500000000000455</v>
      </c>
      <c r="K166" s="4" t="str">
        <f t="shared" si="37"/>
        <v xml:space="preserve"> </v>
      </c>
      <c r="L166" s="5">
        <f t="shared" si="46"/>
        <v>228.91400000000004</v>
      </c>
      <c r="M166" s="5">
        <f t="shared" si="49"/>
        <v>221.869</v>
      </c>
      <c r="N166" s="5">
        <f t="shared" si="34"/>
        <v>233.42</v>
      </c>
      <c r="O166" s="5"/>
      <c r="P166" s="5">
        <f t="shared" si="41"/>
        <v>2.2000000000000171</v>
      </c>
      <c r="Q166" s="5">
        <f t="shared" si="42"/>
        <v>2.2000000000000171</v>
      </c>
      <c r="R166" s="5" t="str">
        <f t="shared" si="43"/>
        <v xml:space="preserve"> </v>
      </c>
      <c r="S166" s="8">
        <f t="shared" si="47"/>
        <v>1393.25</v>
      </c>
      <c r="T166" s="8">
        <f t="shared" si="50"/>
        <v>1442.8975</v>
      </c>
      <c r="U166" s="8">
        <f t="shared" si="35"/>
        <v>1487.2750000000003</v>
      </c>
      <c r="V166" s="6"/>
      <c r="W166" s="8">
        <f t="shared" si="44"/>
        <v>12.950000000000045</v>
      </c>
      <c r="X166" s="6">
        <f t="shared" si="38"/>
        <v>12.950000000000045</v>
      </c>
      <c r="Y166" s="6" t="str">
        <f t="shared" si="39"/>
        <v xml:space="preserve"> </v>
      </c>
    </row>
    <row r="167" spans="1:25" x14ac:dyDescent="0.35">
      <c r="A167" s="13">
        <v>45707</v>
      </c>
      <c r="B167" s="15">
        <v>1873.4</v>
      </c>
      <c r="C167" s="11">
        <v>228.59</v>
      </c>
      <c r="D167" s="18">
        <v>1374.2</v>
      </c>
      <c r="E167" s="7">
        <f t="shared" si="45"/>
        <v>1872.36</v>
      </c>
      <c r="F167" s="7">
        <f t="shared" si="48"/>
        <v>1847.9375</v>
      </c>
      <c r="G167" s="7">
        <f t="shared" si="33"/>
        <v>1927.3559999999995</v>
      </c>
      <c r="H167" s="4"/>
      <c r="I167" s="7">
        <f t="shared" si="40"/>
        <v>-8.0499999999999545</v>
      </c>
      <c r="J167" s="4" t="str">
        <f t="shared" si="36"/>
        <v xml:space="preserve"> </v>
      </c>
      <c r="K167" s="4">
        <f t="shared" si="37"/>
        <v>-8.0499999999999545</v>
      </c>
      <c r="L167" s="5">
        <f t="shared" si="46"/>
        <v>230.27800000000002</v>
      </c>
      <c r="M167" s="5">
        <f t="shared" si="49"/>
        <v>221.81950000000001</v>
      </c>
      <c r="N167" s="5">
        <f t="shared" si="34"/>
        <v>233.00779999999997</v>
      </c>
      <c r="O167" s="5"/>
      <c r="P167" s="5">
        <f t="shared" si="41"/>
        <v>-6.8100000000000023</v>
      </c>
      <c r="Q167" s="5" t="str">
        <f t="shared" si="42"/>
        <v xml:space="preserve"> </v>
      </c>
      <c r="R167" s="5">
        <f t="shared" si="43"/>
        <v>-6.8100000000000023</v>
      </c>
      <c r="S167" s="8">
        <f t="shared" si="47"/>
        <v>1381.08</v>
      </c>
      <c r="T167" s="8">
        <f t="shared" si="50"/>
        <v>1434.5625</v>
      </c>
      <c r="U167" s="8">
        <f t="shared" si="35"/>
        <v>1484.3529999999998</v>
      </c>
      <c r="V167" s="6"/>
      <c r="W167" s="8">
        <f t="shared" si="44"/>
        <v>-23.75</v>
      </c>
      <c r="X167" s="6" t="str">
        <f t="shared" si="38"/>
        <v xml:space="preserve"> </v>
      </c>
      <c r="Y167" s="6">
        <f t="shared" si="39"/>
        <v>-23.75</v>
      </c>
    </row>
    <row r="168" spans="1:25" x14ac:dyDescent="0.35">
      <c r="A168" s="13">
        <v>45706</v>
      </c>
      <c r="B168" s="15">
        <v>1889.2</v>
      </c>
      <c r="C168" s="11">
        <v>220.4</v>
      </c>
      <c r="D168" s="18">
        <v>1350</v>
      </c>
      <c r="E168" s="7">
        <f t="shared" si="45"/>
        <v>1875.8</v>
      </c>
      <c r="F168" s="7">
        <f t="shared" si="48"/>
        <v>1849.7974999999999</v>
      </c>
      <c r="G168" s="7">
        <f t="shared" si="33"/>
        <v>1925.1399999999994</v>
      </c>
      <c r="H168" s="4"/>
      <c r="I168" s="7">
        <f t="shared" si="40"/>
        <v>15.799999999999955</v>
      </c>
      <c r="J168" s="4">
        <f t="shared" si="36"/>
        <v>15.799999999999955</v>
      </c>
      <c r="K168" s="4" t="str">
        <f t="shared" si="37"/>
        <v xml:space="preserve"> </v>
      </c>
      <c r="L168" s="5">
        <f t="shared" si="46"/>
        <v>229.22800000000001</v>
      </c>
      <c r="M168" s="5">
        <f t="shared" si="49"/>
        <v>221.23949999999999</v>
      </c>
      <c r="N168" s="5">
        <f t="shared" si="34"/>
        <v>232.41479999999999</v>
      </c>
      <c r="O168" s="5"/>
      <c r="P168" s="5">
        <f t="shared" si="41"/>
        <v>-8.1899999999999977</v>
      </c>
      <c r="Q168" s="5" t="str">
        <f t="shared" si="42"/>
        <v xml:space="preserve"> </v>
      </c>
      <c r="R168" s="5">
        <f t="shared" si="43"/>
        <v>-8.1899999999999977</v>
      </c>
      <c r="S168" s="8">
        <f t="shared" si="47"/>
        <v>1377.37</v>
      </c>
      <c r="T168" s="8">
        <f t="shared" si="50"/>
        <v>1427.2125000000001</v>
      </c>
      <c r="U168" s="8">
        <f t="shared" si="35"/>
        <v>1480.9229999999998</v>
      </c>
      <c r="V168" s="6"/>
      <c r="W168" s="8">
        <f t="shared" si="44"/>
        <v>-24.200000000000045</v>
      </c>
      <c r="X168" s="6" t="str">
        <f t="shared" si="38"/>
        <v xml:space="preserve"> </v>
      </c>
      <c r="Y168" s="6">
        <f t="shared" si="39"/>
        <v>-24.200000000000045</v>
      </c>
    </row>
    <row r="169" spans="1:25" x14ac:dyDescent="0.35">
      <c r="A169" s="13">
        <v>45705</v>
      </c>
      <c r="B169" s="15">
        <v>1890.05</v>
      </c>
      <c r="C169" s="11">
        <v>223.84</v>
      </c>
      <c r="D169" s="18">
        <v>1360.6</v>
      </c>
      <c r="E169" s="7">
        <f t="shared" si="45"/>
        <v>1881.3200000000002</v>
      </c>
      <c r="F169" s="7">
        <f t="shared" si="48"/>
        <v>1852.25</v>
      </c>
      <c r="G169" s="7">
        <f t="shared" si="33"/>
        <v>1922.3309999999994</v>
      </c>
      <c r="H169" s="4"/>
      <c r="I169" s="7">
        <f t="shared" si="40"/>
        <v>0.84999999999990905</v>
      </c>
      <c r="J169" s="4">
        <f t="shared" si="36"/>
        <v>0.84999999999990905</v>
      </c>
      <c r="K169" s="4" t="str">
        <f t="shared" si="37"/>
        <v xml:space="preserve"> </v>
      </c>
      <c r="L169" s="5">
        <f t="shared" si="46"/>
        <v>228.286</v>
      </c>
      <c r="M169" s="5">
        <f t="shared" si="49"/>
        <v>221.02650000000003</v>
      </c>
      <c r="N169" s="5">
        <f t="shared" si="34"/>
        <v>231.76159999999996</v>
      </c>
      <c r="O169" s="5"/>
      <c r="P169" s="5">
        <f t="shared" si="41"/>
        <v>3.4399999999999977</v>
      </c>
      <c r="Q169" s="5">
        <f t="shared" si="42"/>
        <v>3.4399999999999977</v>
      </c>
      <c r="R169" s="5" t="str">
        <f t="shared" si="43"/>
        <v xml:space="preserve"> </v>
      </c>
      <c r="S169" s="8">
        <f t="shared" si="47"/>
        <v>1373.55</v>
      </c>
      <c r="T169" s="8">
        <f t="shared" si="50"/>
        <v>1419.6624999999999</v>
      </c>
      <c r="U169" s="8">
        <f t="shared" si="35"/>
        <v>1476.635</v>
      </c>
      <c r="V169" s="6"/>
      <c r="W169" s="8">
        <f t="shared" si="44"/>
        <v>10.599999999999909</v>
      </c>
      <c r="X169" s="6">
        <f t="shared" si="38"/>
        <v>10.599999999999909</v>
      </c>
      <c r="Y169" s="6" t="str">
        <f t="shared" si="39"/>
        <v xml:space="preserve"> </v>
      </c>
    </row>
    <row r="170" spans="1:25" x14ac:dyDescent="0.35">
      <c r="A170" s="13">
        <v>45702</v>
      </c>
      <c r="B170" s="15">
        <v>1839</v>
      </c>
      <c r="C170" s="11">
        <v>222.25</v>
      </c>
      <c r="D170" s="18">
        <v>1366.15</v>
      </c>
      <c r="E170" s="7">
        <f t="shared" si="45"/>
        <v>1874.6200000000001</v>
      </c>
      <c r="F170" s="7">
        <f t="shared" si="48"/>
        <v>1851.8750000000005</v>
      </c>
      <c r="G170" s="7">
        <f t="shared" si="33"/>
        <v>1918.4709999999995</v>
      </c>
      <c r="H170" s="4"/>
      <c r="I170" s="7">
        <f t="shared" si="40"/>
        <v>-51.049999999999955</v>
      </c>
      <c r="J170" s="4" t="str">
        <f t="shared" si="36"/>
        <v xml:space="preserve"> </v>
      </c>
      <c r="K170" s="4">
        <f t="shared" si="37"/>
        <v>-51.049999999999955</v>
      </c>
      <c r="L170" s="5">
        <f t="shared" si="46"/>
        <v>226.096</v>
      </c>
      <c r="M170" s="5">
        <f t="shared" si="49"/>
        <v>220.87850000000003</v>
      </c>
      <c r="N170" s="5">
        <f t="shared" si="34"/>
        <v>231.18659999999997</v>
      </c>
      <c r="O170" s="5"/>
      <c r="P170" s="5">
        <f t="shared" si="41"/>
        <v>-1.5900000000000034</v>
      </c>
      <c r="Q170" s="5" t="str">
        <f t="shared" si="42"/>
        <v xml:space="preserve"> </v>
      </c>
      <c r="R170" s="5">
        <f t="shared" si="43"/>
        <v>-1.5900000000000034</v>
      </c>
      <c r="S170" s="8">
        <f t="shared" si="47"/>
        <v>1369.78</v>
      </c>
      <c r="T170" s="8">
        <f t="shared" si="50"/>
        <v>1412.55</v>
      </c>
      <c r="U170" s="8">
        <f t="shared" si="35"/>
        <v>1473.39</v>
      </c>
      <c r="V170" s="6"/>
      <c r="W170" s="8">
        <f t="shared" si="44"/>
        <v>5.5500000000001819</v>
      </c>
      <c r="X170" s="6">
        <f t="shared" si="38"/>
        <v>5.5500000000001819</v>
      </c>
      <c r="Y170" s="6" t="str">
        <f t="shared" si="39"/>
        <v xml:space="preserve"> </v>
      </c>
    </row>
    <row r="171" spans="1:25" x14ac:dyDescent="0.35">
      <c r="A171" s="13">
        <v>45701</v>
      </c>
      <c r="B171" s="15">
        <v>1842.35</v>
      </c>
      <c r="C171" s="11">
        <v>227.9</v>
      </c>
      <c r="D171" s="18">
        <v>1389.9</v>
      </c>
      <c r="E171" s="7">
        <f t="shared" si="45"/>
        <v>1866.8</v>
      </c>
      <c r="F171" s="7">
        <f t="shared" si="48"/>
        <v>1850.2375</v>
      </c>
      <c r="G171" s="7">
        <f t="shared" si="33"/>
        <v>1914.7379999999996</v>
      </c>
      <c r="H171" s="4"/>
      <c r="I171" s="7">
        <f t="shared" si="40"/>
        <v>3.3499999999999091</v>
      </c>
      <c r="J171" s="4">
        <f t="shared" si="36"/>
        <v>3.3499999999999091</v>
      </c>
      <c r="K171" s="4" t="str">
        <f t="shared" si="37"/>
        <v xml:space="preserve"> </v>
      </c>
      <c r="L171" s="5">
        <f t="shared" si="46"/>
        <v>224.596</v>
      </c>
      <c r="M171" s="5">
        <f t="shared" si="49"/>
        <v>221.29450000000003</v>
      </c>
      <c r="N171" s="5">
        <f t="shared" si="34"/>
        <v>230.53559999999999</v>
      </c>
      <c r="O171" s="5"/>
      <c r="P171" s="5">
        <f t="shared" si="41"/>
        <v>5.6500000000000057</v>
      </c>
      <c r="Q171" s="5">
        <f t="shared" si="42"/>
        <v>5.6500000000000057</v>
      </c>
      <c r="R171" s="5" t="str">
        <f t="shared" si="43"/>
        <v xml:space="preserve"> </v>
      </c>
      <c r="S171" s="8">
        <f t="shared" si="47"/>
        <v>1368.17</v>
      </c>
      <c r="T171" s="8">
        <f t="shared" si="50"/>
        <v>1409.1075000000001</v>
      </c>
      <c r="U171" s="8">
        <f t="shared" si="35"/>
        <v>1470.088</v>
      </c>
      <c r="V171" s="6"/>
      <c r="W171" s="8">
        <f t="shared" si="44"/>
        <v>23.75</v>
      </c>
      <c r="X171" s="6">
        <f t="shared" si="38"/>
        <v>23.75</v>
      </c>
      <c r="Y171" s="6" t="str">
        <f t="shared" si="39"/>
        <v xml:space="preserve"> </v>
      </c>
    </row>
    <row r="172" spans="1:25" x14ac:dyDescent="0.35">
      <c r="A172" s="13">
        <v>45700</v>
      </c>
      <c r="B172" s="15">
        <v>1792.25</v>
      </c>
      <c r="C172" s="11">
        <v>228.15</v>
      </c>
      <c r="D172" s="18">
        <v>1351</v>
      </c>
      <c r="E172" s="7">
        <f t="shared" si="45"/>
        <v>1850.5700000000002</v>
      </c>
      <c r="F172" s="7">
        <f t="shared" si="48"/>
        <v>1849.5</v>
      </c>
      <c r="G172" s="7">
        <f t="shared" si="33"/>
        <v>1911.5029999999997</v>
      </c>
      <c r="H172" s="4"/>
      <c r="I172" s="7">
        <f t="shared" si="40"/>
        <v>-50.099999999999909</v>
      </c>
      <c r="J172" s="4" t="str">
        <f t="shared" si="36"/>
        <v xml:space="preserve"> </v>
      </c>
      <c r="K172" s="4">
        <f t="shared" si="37"/>
        <v>-50.099999999999909</v>
      </c>
      <c r="L172" s="5">
        <f t="shared" si="46"/>
        <v>224.50799999999998</v>
      </c>
      <c r="M172" s="5">
        <f t="shared" si="49"/>
        <v>221.54699999999997</v>
      </c>
      <c r="N172" s="5">
        <f t="shared" si="34"/>
        <v>229.93259999999995</v>
      </c>
      <c r="O172" s="5"/>
      <c r="P172" s="5">
        <f t="shared" si="41"/>
        <v>0.25</v>
      </c>
      <c r="Q172" s="5">
        <f t="shared" si="42"/>
        <v>0.25</v>
      </c>
      <c r="R172" s="5" t="str">
        <f t="shared" si="43"/>
        <v xml:space="preserve"> </v>
      </c>
      <c r="S172" s="8">
        <f t="shared" si="47"/>
        <v>1363.53</v>
      </c>
      <c r="T172" s="8">
        <f t="shared" si="50"/>
        <v>1404.8075000000001</v>
      </c>
      <c r="U172" s="8">
        <f t="shared" si="35"/>
        <v>1467.4</v>
      </c>
      <c r="V172" s="6"/>
      <c r="W172" s="8">
        <f t="shared" si="44"/>
        <v>-38.900000000000091</v>
      </c>
      <c r="X172" s="6" t="str">
        <f t="shared" si="38"/>
        <v xml:space="preserve"> </v>
      </c>
      <c r="Y172" s="6">
        <f t="shared" si="39"/>
        <v>-38.900000000000091</v>
      </c>
    </row>
    <row r="173" spans="1:25" x14ac:dyDescent="0.35">
      <c r="A173" s="13">
        <v>45699</v>
      </c>
      <c r="B173" s="15">
        <v>1744.05</v>
      </c>
      <c r="C173" s="11">
        <v>236.5</v>
      </c>
      <c r="D173" s="18">
        <v>1313.4</v>
      </c>
      <c r="E173" s="7">
        <f t="shared" si="45"/>
        <v>1821.5399999999997</v>
      </c>
      <c r="F173" s="7">
        <f t="shared" si="48"/>
        <v>1845.6025000000002</v>
      </c>
      <c r="G173" s="7">
        <f t="shared" si="33"/>
        <v>1907.3639999999996</v>
      </c>
      <c r="H173" s="4"/>
      <c r="I173" s="7">
        <f t="shared" si="40"/>
        <v>-48.200000000000045</v>
      </c>
      <c r="J173" s="4" t="str">
        <f t="shared" si="36"/>
        <v xml:space="preserve"> </v>
      </c>
      <c r="K173" s="4">
        <f t="shared" si="37"/>
        <v>-48.200000000000045</v>
      </c>
      <c r="L173" s="5">
        <f t="shared" si="46"/>
        <v>227.72799999999998</v>
      </c>
      <c r="M173" s="5">
        <f t="shared" si="49"/>
        <v>222.07650000000004</v>
      </c>
      <c r="N173" s="5">
        <f t="shared" si="34"/>
        <v>229.48099999999994</v>
      </c>
      <c r="O173" s="5"/>
      <c r="P173" s="5">
        <f t="shared" si="41"/>
        <v>8.3499999999999943</v>
      </c>
      <c r="Q173" s="5">
        <f t="shared" si="42"/>
        <v>8.3499999999999943</v>
      </c>
      <c r="R173" s="5" t="str">
        <f t="shared" si="43"/>
        <v xml:space="preserve"> </v>
      </c>
      <c r="S173" s="8">
        <f t="shared" si="47"/>
        <v>1356.2099999999998</v>
      </c>
      <c r="T173" s="8">
        <f t="shared" si="50"/>
        <v>1398.2775000000001</v>
      </c>
      <c r="U173" s="8">
        <f t="shared" si="35"/>
        <v>1463.8659999999998</v>
      </c>
      <c r="V173" s="6"/>
      <c r="W173" s="8">
        <f t="shared" si="44"/>
        <v>-37.599999999999909</v>
      </c>
      <c r="X173" s="6" t="str">
        <f t="shared" si="38"/>
        <v xml:space="preserve"> </v>
      </c>
      <c r="Y173" s="6">
        <f t="shared" si="39"/>
        <v>-37.599999999999909</v>
      </c>
    </row>
    <row r="174" spans="1:25" x14ac:dyDescent="0.35">
      <c r="A174" s="13">
        <v>45698</v>
      </c>
      <c r="B174" s="15">
        <v>1789.05</v>
      </c>
      <c r="C174" s="11">
        <v>243.2</v>
      </c>
      <c r="D174" s="18">
        <v>1342.85</v>
      </c>
      <c r="E174" s="7">
        <f t="shared" si="45"/>
        <v>1801.3400000000001</v>
      </c>
      <c r="F174" s="7">
        <f t="shared" si="48"/>
        <v>1844.6450000000004</v>
      </c>
      <c r="G174" s="7">
        <f t="shared" si="33"/>
        <v>1901.8689999999999</v>
      </c>
      <c r="H174" s="4"/>
      <c r="I174" s="7">
        <f t="shared" si="40"/>
        <v>45</v>
      </c>
      <c r="J174" s="4">
        <f t="shared" si="36"/>
        <v>45</v>
      </c>
      <c r="K174" s="4" t="str">
        <f t="shared" si="37"/>
        <v xml:space="preserve"> </v>
      </c>
      <c r="L174" s="5">
        <f t="shared" si="46"/>
        <v>231.6</v>
      </c>
      <c r="M174" s="5">
        <f t="shared" si="49"/>
        <v>223.29900000000004</v>
      </c>
      <c r="N174" s="5">
        <f t="shared" si="34"/>
        <v>229.19499999999999</v>
      </c>
      <c r="O174" s="5"/>
      <c r="P174" s="5">
        <f t="shared" si="41"/>
        <v>6.6999999999999886</v>
      </c>
      <c r="Q174" s="5">
        <f t="shared" si="42"/>
        <v>6.6999999999999886</v>
      </c>
      <c r="R174" s="5" t="str">
        <f t="shared" si="43"/>
        <v xml:space="preserve"> </v>
      </c>
      <c r="S174" s="8">
        <f t="shared" si="47"/>
        <v>1352.6600000000003</v>
      </c>
      <c r="T174" s="8">
        <f t="shared" si="50"/>
        <v>1392.67</v>
      </c>
      <c r="U174" s="8">
        <f t="shared" si="35"/>
        <v>1461.0829999999999</v>
      </c>
      <c r="V174" s="6"/>
      <c r="W174" s="8">
        <f t="shared" si="44"/>
        <v>29.449999999999818</v>
      </c>
      <c r="X174" s="6">
        <f t="shared" si="38"/>
        <v>29.449999999999818</v>
      </c>
      <c r="Y174" s="6" t="str">
        <f t="shared" si="39"/>
        <v xml:space="preserve"> </v>
      </c>
    </row>
    <row r="175" spans="1:25" x14ac:dyDescent="0.35">
      <c r="A175" s="13">
        <v>45695</v>
      </c>
      <c r="B175" s="15">
        <v>1800</v>
      </c>
      <c r="C175" s="11">
        <v>249.5</v>
      </c>
      <c r="D175" s="18">
        <v>1375</v>
      </c>
      <c r="E175" s="7">
        <f t="shared" si="45"/>
        <v>1793.5400000000002</v>
      </c>
      <c r="F175" s="7">
        <f t="shared" si="48"/>
        <v>1842.7675000000004</v>
      </c>
      <c r="G175" s="7">
        <f t="shared" si="33"/>
        <v>1896.8689999999999</v>
      </c>
      <c r="H175" s="4"/>
      <c r="I175" s="7">
        <f t="shared" si="40"/>
        <v>10.950000000000045</v>
      </c>
      <c r="J175" s="4">
        <f t="shared" si="36"/>
        <v>10.950000000000045</v>
      </c>
      <c r="K175" s="4" t="str">
        <f t="shared" si="37"/>
        <v xml:space="preserve"> </v>
      </c>
      <c r="L175" s="5">
        <f t="shared" si="46"/>
        <v>237.05</v>
      </c>
      <c r="M175" s="5">
        <f t="shared" si="49"/>
        <v>224.98150000000004</v>
      </c>
      <c r="N175" s="5">
        <f t="shared" si="34"/>
        <v>229.02500000000001</v>
      </c>
      <c r="O175" s="5"/>
      <c r="P175" s="5">
        <f t="shared" si="41"/>
        <v>6.3000000000000114</v>
      </c>
      <c r="Q175" s="5">
        <f t="shared" si="42"/>
        <v>6.3000000000000114</v>
      </c>
      <c r="R175" s="5" t="str">
        <f t="shared" si="43"/>
        <v xml:space="preserve"> </v>
      </c>
      <c r="S175" s="8">
        <f t="shared" si="47"/>
        <v>1354.4299999999998</v>
      </c>
      <c r="T175" s="8">
        <f t="shared" si="50"/>
        <v>1390.8175000000001</v>
      </c>
      <c r="U175" s="8">
        <f t="shared" si="35"/>
        <v>1458.1729999999998</v>
      </c>
      <c r="V175" s="6"/>
      <c r="W175" s="8">
        <f t="shared" si="44"/>
        <v>32.150000000000091</v>
      </c>
      <c r="X175" s="6">
        <f t="shared" si="38"/>
        <v>32.150000000000091</v>
      </c>
      <c r="Y175" s="6" t="str">
        <f t="shared" si="39"/>
        <v xml:space="preserve"> </v>
      </c>
    </row>
    <row r="176" spans="1:25" x14ac:dyDescent="0.35">
      <c r="A176" s="13">
        <v>45694</v>
      </c>
      <c r="B176" s="15">
        <v>1790.95</v>
      </c>
      <c r="C176" s="11">
        <v>251.1</v>
      </c>
      <c r="D176" s="18">
        <v>1382.4</v>
      </c>
      <c r="E176" s="7">
        <f t="shared" si="45"/>
        <v>1783.2600000000002</v>
      </c>
      <c r="F176" s="7">
        <f t="shared" si="48"/>
        <v>1840.3650000000002</v>
      </c>
      <c r="G176" s="7">
        <f t="shared" si="33"/>
        <v>1891.7879999999998</v>
      </c>
      <c r="H176" s="4"/>
      <c r="I176" s="7">
        <f t="shared" si="40"/>
        <v>-9.0499999999999545</v>
      </c>
      <c r="J176" s="4" t="str">
        <f t="shared" si="36"/>
        <v xml:space="preserve"> </v>
      </c>
      <c r="K176" s="4">
        <f t="shared" si="37"/>
        <v>-9.0499999999999545</v>
      </c>
      <c r="L176" s="5">
        <f t="shared" si="46"/>
        <v>241.68999999999997</v>
      </c>
      <c r="M176" s="5">
        <f t="shared" si="49"/>
        <v>226.44150000000005</v>
      </c>
      <c r="N176" s="5">
        <f t="shared" si="34"/>
        <v>228.99920000000003</v>
      </c>
      <c r="O176" s="5"/>
      <c r="P176" s="5">
        <f t="shared" si="41"/>
        <v>1.5999999999999943</v>
      </c>
      <c r="Q176" s="5">
        <f t="shared" si="42"/>
        <v>1.5999999999999943</v>
      </c>
      <c r="R176" s="5" t="str">
        <f t="shared" si="43"/>
        <v xml:space="preserve"> </v>
      </c>
      <c r="S176" s="8">
        <f t="shared" si="47"/>
        <v>1352.9299999999998</v>
      </c>
      <c r="T176" s="8">
        <f t="shared" si="50"/>
        <v>1387.2375000000002</v>
      </c>
      <c r="U176" s="8">
        <f t="shared" si="35"/>
        <v>1455.249</v>
      </c>
      <c r="V176" s="6"/>
      <c r="W176" s="8">
        <f t="shared" si="44"/>
        <v>7.4000000000000909</v>
      </c>
      <c r="X176" s="6">
        <f t="shared" si="38"/>
        <v>7.4000000000000909</v>
      </c>
      <c r="Y176" s="6" t="str">
        <f t="shared" si="39"/>
        <v xml:space="preserve"> </v>
      </c>
    </row>
    <row r="177" spans="1:25" x14ac:dyDescent="0.35">
      <c r="A177" s="13">
        <v>45693</v>
      </c>
      <c r="B177" s="15">
        <v>1791.85</v>
      </c>
      <c r="C177" s="11">
        <v>249.4</v>
      </c>
      <c r="D177" s="18">
        <v>1386.9</v>
      </c>
      <c r="E177" s="7">
        <f t="shared" si="45"/>
        <v>1783.1799999999998</v>
      </c>
      <c r="F177" s="7">
        <f t="shared" si="48"/>
        <v>1837.8324999999998</v>
      </c>
      <c r="G177" s="7">
        <f t="shared" si="33"/>
        <v>1885.559</v>
      </c>
      <c r="H177" s="4"/>
      <c r="I177" s="7">
        <f t="shared" si="40"/>
        <v>0.89999999999986358</v>
      </c>
      <c r="J177" s="4">
        <f t="shared" si="36"/>
        <v>0.89999999999986358</v>
      </c>
      <c r="K177" s="4" t="str">
        <f t="shared" si="37"/>
        <v xml:space="preserve"> </v>
      </c>
      <c r="L177" s="5">
        <f t="shared" si="46"/>
        <v>245.94</v>
      </c>
      <c r="M177" s="5">
        <f t="shared" si="49"/>
        <v>227.94200000000001</v>
      </c>
      <c r="N177" s="5">
        <f t="shared" si="34"/>
        <v>228.80840000000001</v>
      </c>
      <c r="O177" s="5"/>
      <c r="P177" s="5">
        <f t="shared" si="41"/>
        <v>-1.6999999999999886</v>
      </c>
      <c r="Q177" s="5" t="str">
        <f t="shared" si="42"/>
        <v xml:space="preserve"> </v>
      </c>
      <c r="R177" s="5">
        <f t="shared" si="43"/>
        <v>-1.6999999999999886</v>
      </c>
      <c r="S177" s="8">
        <f t="shared" si="47"/>
        <v>1360.11</v>
      </c>
      <c r="T177" s="8">
        <f t="shared" si="50"/>
        <v>1383.6350000000004</v>
      </c>
      <c r="U177" s="8">
        <f t="shared" si="35"/>
        <v>1451.8469999999998</v>
      </c>
      <c r="V177" s="6"/>
      <c r="W177" s="8">
        <f t="shared" si="44"/>
        <v>4.5</v>
      </c>
      <c r="X177" s="6">
        <f t="shared" si="38"/>
        <v>4.5</v>
      </c>
      <c r="Y177" s="6" t="str">
        <f t="shared" si="39"/>
        <v xml:space="preserve"> </v>
      </c>
    </row>
    <row r="178" spans="1:25" x14ac:dyDescent="0.35">
      <c r="A178" s="13">
        <v>45692</v>
      </c>
      <c r="B178" s="15">
        <v>1804.1</v>
      </c>
      <c r="C178" s="11">
        <v>245</v>
      </c>
      <c r="D178" s="18">
        <v>1388</v>
      </c>
      <c r="E178" s="7">
        <f t="shared" si="45"/>
        <v>1795.19</v>
      </c>
      <c r="F178" s="7">
        <f t="shared" si="48"/>
        <v>1837.7424999999998</v>
      </c>
      <c r="G178" s="7">
        <f t="shared" si="33"/>
        <v>1879.6949999999999</v>
      </c>
      <c r="H178" s="4"/>
      <c r="I178" s="7">
        <f t="shared" si="40"/>
        <v>12.25</v>
      </c>
      <c r="J178" s="4">
        <f t="shared" si="36"/>
        <v>12.25</v>
      </c>
      <c r="K178" s="4" t="str">
        <f t="shared" si="37"/>
        <v xml:space="preserve"> </v>
      </c>
      <c r="L178" s="5">
        <f t="shared" si="46"/>
        <v>247.63999999999996</v>
      </c>
      <c r="M178" s="5">
        <f t="shared" si="49"/>
        <v>229.31199999999998</v>
      </c>
      <c r="N178" s="5">
        <f t="shared" si="34"/>
        <v>228.54800000000003</v>
      </c>
      <c r="O178" s="5"/>
      <c r="P178" s="5">
        <f t="shared" si="41"/>
        <v>-4.4000000000000057</v>
      </c>
      <c r="Q178" s="5" t="str">
        <f t="shared" si="42"/>
        <v xml:space="preserve"> </v>
      </c>
      <c r="R178" s="5">
        <f t="shared" si="43"/>
        <v>-4.4000000000000057</v>
      </c>
      <c r="S178" s="8">
        <f t="shared" si="47"/>
        <v>1375.03</v>
      </c>
      <c r="T178" s="8">
        <f t="shared" si="50"/>
        <v>1380.8850000000004</v>
      </c>
      <c r="U178" s="8">
        <f t="shared" si="35"/>
        <v>1448.2269999999999</v>
      </c>
      <c r="V178" s="6"/>
      <c r="W178" s="8">
        <f t="shared" si="44"/>
        <v>1.0999999999999091</v>
      </c>
      <c r="X178" s="6">
        <f t="shared" si="38"/>
        <v>1.0999999999999091</v>
      </c>
      <c r="Y178" s="6" t="str">
        <f t="shared" si="39"/>
        <v xml:space="preserve"> </v>
      </c>
    </row>
    <row r="179" spans="1:25" x14ac:dyDescent="0.35">
      <c r="A179" s="13">
        <v>45691</v>
      </c>
      <c r="B179" s="15">
        <v>1794.75</v>
      </c>
      <c r="C179" s="11">
        <v>234.3</v>
      </c>
      <c r="D179" s="18">
        <v>1338.5</v>
      </c>
      <c r="E179" s="7">
        <f t="shared" si="45"/>
        <v>1796.33</v>
      </c>
      <c r="F179" s="7">
        <f t="shared" si="48"/>
        <v>1837.9849999999999</v>
      </c>
      <c r="G179" s="7">
        <f t="shared" si="33"/>
        <v>1874.1100000000004</v>
      </c>
      <c r="H179" s="4"/>
      <c r="I179" s="7">
        <f t="shared" si="40"/>
        <v>-9.3499999999999091</v>
      </c>
      <c r="J179" s="4" t="str">
        <f t="shared" si="36"/>
        <v xml:space="preserve"> </v>
      </c>
      <c r="K179" s="4">
        <f t="shared" si="37"/>
        <v>-9.3499999999999091</v>
      </c>
      <c r="L179" s="5">
        <f t="shared" si="46"/>
        <v>245.85999999999999</v>
      </c>
      <c r="M179" s="5">
        <f t="shared" si="49"/>
        <v>230.71449999999999</v>
      </c>
      <c r="N179" s="5">
        <f t="shared" si="34"/>
        <v>228.22200000000001</v>
      </c>
      <c r="O179" s="5"/>
      <c r="P179" s="5">
        <f t="shared" si="41"/>
        <v>-10.699999999999989</v>
      </c>
      <c r="Q179" s="5" t="str">
        <f t="shared" si="42"/>
        <v xml:space="preserve"> </v>
      </c>
      <c r="R179" s="5">
        <f t="shared" si="43"/>
        <v>-10.699999999999989</v>
      </c>
      <c r="S179" s="8">
        <f t="shared" si="47"/>
        <v>1374.16</v>
      </c>
      <c r="T179" s="8">
        <f t="shared" si="50"/>
        <v>1375.3100000000002</v>
      </c>
      <c r="U179" s="8">
        <f t="shared" si="35"/>
        <v>1443.7769999999998</v>
      </c>
      <c r="V179" s="6"/>
      <c r="W179" s="8">
        <f t="shared" si="44"/>
        <v>-49.5</v>
      </c>
      <c r="X179" s="6" t="str">
        <f t="shared" si="38"/>
        <v xml:space="preserve"> </v>
      </c>
      <c r="Y179" s="6">
        <f t="shared" si="39"/>
        <v>-49.5</v>
      </c>
    </row>
    <row r="180" spans="1:25" x14ac:dyDescent="0.35">
      <c r="A180" s="13">
        <v>45689</v>
      </c>
      <c r="B180" s="15">
        <v>1766.3</v>
      </c>
      <c r="C180" s="11">
        <v>241.5</v>
      </c>
      <c r="D180" s="18">
        <v>1265</v>
      </c>
      <c r="E180" s="7">
        <f t="shared" si="45"/>
        <v>1789.5899999999997</v>
      </c>
      <c r="F180" s="7">
        <f t="shared" si="48"/>
        <v>1834.3</v>
      </c>
      <c r="G180" s="7">
        <f t="shared" ref="G180:G243" si="51">AVERAGE(B131:B180)</f>
        <v>1867.316</v>
      </c>
      <c r="H180" s="4"/>
      <c r="I180" s="7">
        <f t="shared" si="40"/>
        <v>-28.450000000000045</v>
      </c>
      <c r="J180" s="4" t="str">
        <f t="shared" si="36"/>
        <v xml:space="preserve"> </v>
      </c>
      <c r="K180" s="4">
        <f t="shared" si="37"/>
        <v>-28.450000000000045</v>
      </c>
      <c r="L180" s="5">
        <f t="shared" si="46"/>
        <v>244.26</v>
      </c>
      <c r="M180" s="5">
        <f t="shared" si="49"/>
        <v>232.72450000000003</v>
      </c>
      <c r="N180" s="5">
        <f t="shared" ref="N180:N243" si="52">AVERAGE(C131:C180)</f>
        <v>228.13279999999997</v>
      </c>
      <c r="O180" s="5"/>
      <c r="P180" s="5">
        <f t="shared" si="41"/>
        <v>7.1999999999999886</v>
      </c>
      <c r="Q180" s="5">
        <f t="shared" si="42"/>
        <v>7.1999999999999886</v>
      </c>
      <c r="R180" s="5" t="str">
        <f t="shared" si="43"/>
        <v xml:space="preserve"> </v>
      </c>
      <c r="S180" s="8">
        <f t="shared" si="47"/>
        <v>1352.16</v>
      </c>
      <c r="T180" s="8">
        <f t="shared" si="50"/>
        <v>1367.3225000000002</v>
      </c>
      <c r="U180" s="8">
        <f t="shared" ref="U180:U243" si="53">AVERAGE(D131:D180)</f>
        <v>1435.8989999999999</v>
      </c>
      <c r="V180" s="6"/>
      <c r="W180" s="8">
        <f t="shared" si="44"/>
        <v>-73.5</v>
      </c>
      <c r="X180" s="6" t="str">
        <f t="shared" si="38"/>
        <v xml:space="preserve"> </v>
      </c>
      <c r="Y180" s="6">
        <f t="shared" si="39"/>
        <v>-73.5</v>
      </c>
    </row>
    <row r="181" spans="1:25" x14ac:dyDescent="0.35">
      <c r="A181" s="13">
        <v>45688</v>
      </c>
      <c r="B181" s="15">
        <v>1742.35</v>
      </c>
      <c r="C181" s="11">
        <v>243.25</v>
      </c>
      <c r="D181" s="18">
        <v>1291.1500000000001</v>
      </c>
      <c r="E181" s="7">
        <f t="shared" si="45"/>
        <v>1779.8700000000001</v>
      </c>
      <c r="F181" s="7">
        <f t="shared" si="48"/>
        <v>1827.9075</v>
      </c>
      <c r="G181" s="7">
        <f t="shared" si="51"/>
        <v>1861.5430000000006</v>
      </c>
      <c r="H181" s="4"/>
      <c r="I181" s="7">
        <f t="shared" si="40"/>
        <v>-23.950000000000045</v>
      </c>
      <c r="J181" s="4" t="str">
        <f t="shared" si="36"/>
        <v xml:space="preserve"> </v>
      </c>
      <c r="K181" s="4">
        <f t="shared" si="37"/>
        <v>-23.950000000000045</v>
      </c>
      <c r="L181" s="5">
        <f t="shared" si="46"/>
        <v>242.69</v>
      </c>
      <c r="M181" s="5">
        <f t="shared" si="49"/>
        <v>234.4725</v>
      </c>
      <c r="N181" s="5">
        <f t="shared" si="52"/>
        <v>228.07380000000001</v>
      </c>
      <c r="O181" s="5"/>
      <c r="P181" s="5">
        <f t="shared" si="41"/>
        <v>1.75</v>
      </c>
      <c r="Q181" s="5">
        <f t="shared" si="42"/>
        <v>1.75</v>
      </c>
      <c r="R181" s="5" t="str">
        <f t="shared" si="43"/>
        <v xml:space="preserve"> </v>
      </c>
      <c r="S181" s="8">
        <f t="shared" si="47"/>
        <v>1333.9099999999999</v>
      </c>
      <c r="T181" s="8">
        <f t="shared" si="50"/>
        <v>1362.0650000000001</v>
      </c>
      <c r="U181" s="8">
        <f t="shared" si="53"/>
        <v>1429.96</v>
      </c>
      <c r="V181" s="6"/>
      <c r="W181" s="8">
        <f t="shared" si="44"/>
        <v>26.150000000000091</v>
      </c>
      <c r="X181" s="6">
        <f t="shared" si="38"/>
        <v>26.150000000000091</v>
      </c>
      <c r="Y181" s="6" t="str">
        <f t="shared" si="39"/>
        <v xml:space="preserve"> </v>
      </c>
    </row>
    <row r="182" spans="1:25" x14ac:dyDescent="0.35">
      <c r="A182" s="13">
        <v>45687</v>
      </c>
      <c r="B182" s="15">
        <v>1750</v>
      </c>
      <c r="C182" s="11">
        <v>235.9</v>
      </c>
      <c r="D182" s="18">
        <v>1285</v>
      </c>
      <c r="E182" s="7">
        <f t="shared" si="45"/>
        <v>1771.5</v>
      </c>
      <c r="F182" s="7">
        <f t="shared" si="48"/>
        <v>1819.4024999999997</v>
      </c>
      <c r="G182" s="7">
        <f t="shared" si="51"/>
        <v>1857.1730000000005</v>
      </c>
      <c r="H182" s="4"/>
      <c r="I182" s="7">
        <f t="shared" si="40"/>
        <v>7.6500000000000909</v>
      </c>
      <c r="J182" s="4">
        <f t="shared" si="36"/>
        <v>7.6500000000000909</v>
      </c>
      <c r="K182" s="4" t="str">
        <f t="shared" si="37"/>
        <v xml:space="preserve"> </v>
      </c>
      <c r="L182" s="5">
        <f t="shared" si="46"/>
        <v>239.99</v>
      </c>
      <c r="M182" s="5">
        <f t="shared" si="49"/>
        <v>235.179</v>
      </c>
      <c r="N182" s="5">
        <f t="shared" si="52"/>
        <v>227.94579999999999</v>
      </c>
      <c r="O182" s="5"/>
      <c r="P182" s="5">
        <f t="shared" si="41"/>
        <v>-7.3499999999999943</v>
      </c>
      <c r="Q182" s="5" t="str">
        <f t="shared" si="42"/>
        <v xml:space="preserve"> </v>
      </c>
      <c r="R182" s="5">
        <f t="shared" si="43"/>
        <v>-7.3499999999999943</v>
      </c>
      <c r="S182" s="8">
        <f t="shared" si="47"/>
        <v>1313.53</v>
      </c>
      <c r="T182" s="8">
        <f t="shared" si="50"/>
        <v>1354.5625000000002</v>
      </c>
      <c r="U182" s="8">
        <f t="shared" si="53"/>
        <v>1423.72</v>
      </c>
      <c r="V182" s="6"/>
      <c r="W182" s="8">
        <f t="shared" si="44"/>
        <v>-6.1500000000000909</v>
      </c>
      <c r="X182" s="6" t="str">
        <f t="shared" si="38"/>
        <v xml:space="preserve"> </v>
      </c>
      <c r="Y182" s="6">
        <f t="shared" si="39"/>
        <v>-6.1500000000000909</v>
      </c>
    </row>
    <row r="183" spans="1:25" x14ac:dyDescent="0.35">
      <c r="A183" s="13">
        <v>45686</v>
      </c>
      <c r="B183" s="15">
        <v>1787.6</v>
      </c>
      <c r="C183" s="11">
        <v>240.1</v>
      </c>
      <c r="D183" s="18">
        <v>1293</v>
      </c>
      <c r="E183" s="7">
        <f t="shared" si="45"/>
        <v>1768.2</v>
      </c>
      <c r="F183" s="7">
        <f t="shared" si="48"/>
        <v>1815.1824999999997</v>
      </c>
      <c r="G183" s="7">
        <f t="shared" si="51"/>
        <v>1853.5050000000006</v>
      </c>
      <c r="H183" s="4"/>
      <c r="I183" s="7">
        <f t="shared" si="40"/>
        <v>37.599999999999909</v>
      </c>
      <c r="J183" s="4">
        <f t="shared" si="36"/>
        <v>37.599999999999909</v>
      </c>
      <c r="K183" s="4" t="str">
        <f t="shared" si="37"/>
        <v xml:space="preserve"> </v>
      </c>
      <c r="L183" s="5">
        <f t="shared" si="46"/>
        <v>239.01</v>
      </c>
      <c r="M183" s="5">
        <f t="shared" si="49"/>
        <v>235.90150000000003</v>
      </c>
      <c r="N183" s="5">
        <f t="shared" si="52"/>
        <v>227.96680000000001</v>
      </c>
      <c r="O183" s="5"/>
      <c r="P183" s="5">
        <f t="shared" si="41"/>
        <v>4.1999999999999886</v>
      </c>
      <c r="Q183" s="5">
        <f t="shared" si="42"/>
        <v>4.1999999999999886</v>
      </c>
      <c r="R183" s="5" t="str">
        <f t="shared" si="43"/>
        <v xml:space="preserve"> </v>
      </c>
      <c r="S183" s="8">
        <f t="shared" si="47"/>
        <v>1294.53</v>
      </c>
      <c r="T183" s="8">
        <f t="shared" si="50"/>
        <v>1350.7850000000003</v>
      </c>
      <c r="U183" s="8">
        <f t="shared" si="53"/>
        <v>1418.38</v>
      </c>
      <c r="V183" s="6"/>
      <c r="W183" s="8">
        <f t="shared" si="44"/>
        <v>8</v>
      </c>
      <c r="X183" s="6">
        <f t="shared" si="38"/>
        <v>8</v>
      </c>
      <c r="Y183" s="6" t="str">
        <f t="shared" si="39"/>
        <v xml:space="preserve"> </v>
      </c>
    </row>
    <row r="184" spans="1:25" x14ac:dyDescent="0.35">
      <c r="A184" s="13">
        <v>45685</v>
      </c>
      <c r="B184" s="15">
        <v>1770.1</v>
      </c>
      <c r="C184" s="11">
        <v>234.5</v>
      </c>
      <c r="D184" s="18">
        <v>1234</v>
      </c>
      <c r="E184" s="7">
        <f t="shared" si="45"/>
        <v>1763.27</v>
      </c>
      <c r="F184" s="7">
        <f t="shared" si="48"/>
        <v>1810.5649999999998</v>
      </c>
      <c r="G184" s="7">
        <f t="shared" si="51"/>
        <v>1849.9810000000007</v>
      </c>
      <c r="H184" s="4"/>
      <c r="I184" s="7">
        <f t="shared" si="40"/>
        <v>-17.5</v>
      </c>
      <c r="J184" s="4" t="str">
        <f t="shared" si="36"/>
        <v xml:space="preserve"> </v>
      </c>
      <c r="K184" s="4">
        <f t="shared" si="37"/>
        <v>-17.5</v>
      </c>
      <c r="L184" s="5">
        <f t="shared" si="46"/>
        <v>239.05</v>
      </c>
      <c r="M184" s="5">
        <f t="shared" si="49"/>
        <v>236.19900000000001</v>
      </c>
      <c r="N184" s="5">
        <f t="shared" si="52"/>
        <v>228.0488</v>
      </c>
      <c r="O184" s="5"/>
      <c r="P184" s="5">
        <f t="shared" si="41"/>
        <v>-5.5999999999999943</v>
      </c>
      <c r="Q184" s="5" t="str">
        <f t="shared" si="42"/>
        <v xml:space="preserve"> </v>
      </c>
      <c r="R184" s="5">
        <f t="shared" si="43"/>
        <v>-5.5999999999999943</v>
      </c>
      <c r="S184" s="8">
        <f t="shared" si="47"/>
        <v>1273.6299999999999</v>
      </c>
      <c r="T184" s="8">
        <f t="shared" si="50"/>
        <v>1343.5000000000002</v>
      </c>
      <c r="U184" s="8">
        <f t="shared" si="53"/>
        <v>1413.682</v>
      </c>
      <c r="V184" s="6"/>
      <c r="W184" s="8">
        <f t="shared" si="44"/>
        <v>-59</v>
      </c>
      <c r="X184" s="6" t="str">
        <f t="shared" si="38"/>
        <v xml:space="preserve"> </v>
      </c>
      <c r="Y184" s="6">
        <f t="shared" si="39"/>
        <v>-59</v>
      </c>
    </row>
    <row r="185" spans="1:25" x14ac:dyDescent="0.35">
      <c r="A185" s="13">
        <v>45684</v>
      </c>
      <c r="B185" s="15">
        <v>1705.05</v>
      </c>
      <c r="C185" s="11">
        <v>233.3</v>
      </c>
      <c r="D185" s="18">
        <v>1175.5999999999999</v>
      </c>
      <c r="E185" s="7">
        <f t="shared" si="45"/>
        <v>1751.0199999999998</v>
      </c>
      <c r="F185" s="7">
        <f t="shared" si="48"/>
        <v>1802.1924999999999</v>
      </c>
      <c r="G185" s="7">
        <f t="shared" si="51"/>
        <v>1846.0820000000008</v>
      </c>
      <c r="H185" s="4"/>
      <c r="I185" s="7">
        <f t="shared" si="40"/>
        <v>-65.049999999999955</v>
      </c>
      <c r="J185" s="4" t="str">
        <f t="shared" si="36"/>
        <v xml:space="preserve"> </v>
      </c>
      <c r="K185" s="4">
        <f t="shared" si="37"/>
        <v>-65.049999999999955</v>
      </c>
      <c r="L185" s="5">
        <f t="shared" si="46"/>
        <v>237.41</v>
      </c>
      <c r="M185" s="5">
        <f t="shared" si="49"/>
        <v>236.20400000000004</v>
      </c>
      <c r="N185" s="5">
        <f t="shared" si="52"/>
        <v>228.2928</v>
      </c>
      <c r="O185" s="5"/>
      <c r="P185" s="5">
        <f t="shared" si="41"/>
        <v>-1.1999999999999886</v>
      </c>
      <c r="Q185" s="5" t="str">
        <f t="shared" si="42"/>
        <v xml:space="preserve"> </v>
      </c>
      <c r="R185" s="5">
        <f t="shared" si="43"/>
        <v>-1.1999999999999886</v>
      </c>
      <c r="S185" s="8">
        <f t="shared" si="47"/>
        <v>1255.75</v>
      </c>
      <c r="T185" s="8">
        <f t="shared" si="50"/>
        <v>1333.03</v>
      </c>
      <c r="U185" s="8">
        <f t="shared" si="53"/>
        <v>1408.5250000000003</v>
      </c>
      <c r="V185" s="6"/>
      <c r="W185" s="8">
        <f t="shared" si="44"/>
        <v>-58.400000000000091</v>
      </c>
      <c r="X185" s="6" t="str">
        <f t="shared" si="38"/>
        <v xml:space="preserve"> </v>
      </c>
      <c r="Y185" s="6">
        <f t="shared" si="39"/>
        <v>-58.400000000000091</v>
      </c>
    </row>
    <row r="186" spans="1:25" x14ac:dyDescent="0.35">
      <c r="A186" s="13">
        <v>45681</v>
      </c>
      <c r="B186" s="15">
        <v>1729.55</v>
      </c>
      <c r="C186" s="11">
        <v>243.9</v>
      </c>
      <c r="D186" s="18">
        <v>1224.5</v>
      </c>
      <c r="E186" s="7">
        <f t="shared" si="45"/>
        <v>1748.4599999999998</v>
      </c>
      <c r="F186" s="7">
        <f t="shared" si="48"/>
        <v>1794.5974999999999</v>
      </c>
      <c r="G186" s="7">
        <f t="shared" si="51"/>
        <v>1842.6040000000007</v>
      </c>
      <c r="H186" s="4"/>
      <c r="I186" s="7">
        <f t="shared" si="40"/>
        <v>24.5</v>
      </c>
      <c r="J186" s="4">
        <f t="shared" si="36"/>
        <v>24.5</v>
      </c>
      <c r="K186" s="4" t="str">
        <f t="shared" si="37"/>
        <v xml:space="preserve"> </v>
      </c>
      <c r="L186" s="5">
        <f t="shared" si="46"/>
        <v>237.54000000000002</v>
      </c>
      <c r="M186" s="5">
        <f t="shared" si="49"/>
        <v>236.62899999999999</v>
      </c>
      <c r="N186" s="5">
        <f t="shared" si="52"/>
        <v>228.66099999999994</v>
      </c>
      <c r="O186" s="5"/>
      <c r="P186" s="5">
        <f t="shared" si="41"/>
        <v>10.599999999999994</v>
      </c>
      <c r="Q186" s="5">
        <f t="shared" si="42"/>
        <v>10.599999999999994</v>
      </c>
      <c r="R186" s="5" t="str">
        <f t="shared" si="43"/>
        <v xml:space="preserve"> </v>
      </c>
      <c r="S186" s="8">
        <f t="shared" si="47"/>
        <v>1242.42</v>
      </c>
      <c r="T186" s="8">
        <f t="shared" si="50"/>
        <v>1324.3575000000001</v>
      </c>
      <c r="U186" s="8">
        <f t="shared" si="53"/>
        <v>1403.6250000000002</v>
      </c>
      <c r="V186" s="6"/>
      <c r="W186" s="8">
        <f t="shared" si="44"/>
        <v>48.900000000000091</v>
      </c>
      <c r="X186" s="6">
        <f t="shared" si="38"/>
        <v>48.900000000000091</v>
      </c>
      <c r="Y186" s="6" t="str">
        <f t="shared" si="39"/>
        <v xml:space="preserve"> </v>
      </c>
    </row>
    <row r="187" spans="1:25" x14ac:dyDescent="0.35">
      <c r="A187" s="13">
        <v>45680</v>
      </c>
      <c r="B187" s="15">
        <v>1747</v>
      </c>
      <c r="C187" s="11">
        <v>255</v>
      </c>
      <c r="D187" s="18">
        <v>1246</v>
      </c>
      <c r="E187" s="7">
        <f t="shared" si="45"/>
        <v>1747.86</v>
      </c>
      <c r="F187" s="7">
        <f t="shared" si="48"/>
        <v>1788.2774999999997</v>
      </c>
      <c r="G187" s="7">
        <f t="shared" si="51"/>
        <v>1840.5500000000006</v>
      </c>
      <c r="H187" s="4"/>
      <c r="I187" s="7">
        <f t="shared" si="40"/>
        <v>17.450000000000045</v>
      </c>
      <c r="J187" s="4">
        <f t="shared" si="36"/>
        <v>17.450000000000045</v>
      </c>
      <c r="K187" s="4" t="str">
        <f t="shared" si="37"/>
        <v xml:space="preserve"> </v>
      </c>
      <c r="L187" s="5">
        <f t="shared" si="46"/>
        <v>241.36000000000004</v>
      </c>
      <c r="M187" s="5">
        <f t="shared" si="49"/>
        <v>237.9495</v>
      </c>
      <c r="N187" s="5">
        <f t="shared" si="52"/>
        <v>229.46399999999994</v>
      </c>
      <c r="O187" s="5"/>
      <c r="P187" s="5">
        <f t="shared" si="41"/>
        <v>11.099999999999994</v>
      </c>
      <c r="Q187" s="5">
        <f t="shared" si="42"/>
        <v>11.099999999999994</v>
      </c>
      <c r="R187" s="5" t="str">
        <f t="shared" si="43"/>
        <v xml:space="preserve"> </v>
      </c>
      <c r="S187" s="8">
        <f t="shared" si="47"/>
        <v>1234.6200000000001</v>
      </c>
      <c r="T187" s="8">
        <f t="shared" si="50"/>
        <v>1317.9474999999998</v>
      </c>
      <c r="U187" s="8">
        <f t="shared" si="53"/>
        <v>1400.9180000000001</v>
      </c>
      <c r="V187" s="6"/>
      <c r="W187" s="8">
        <f t="shared" si="44"/>
        <v>21.5</v>
      </c>
      <c r="X187" s="6">
        <f t="shared" si="38"/>
        <v>21.5</v>
      </c>
      <c r="Y187" s="6" t="str">
        <f t="shared" si="39"/>
        <v xml:space="preserve"> </v>
      </c>
    </row>
    <row r="188" spans="1:25" x14ac:dyDescent="0.35">
      <c r="A188" s="13">
        <v>45679</v>
      </c>
      <c r="B188" s="15">
        <v>1742.55</v>
      </c>
      <c r="C188" s="11">
        <v>263.3</v>
      </c>
      <c r="D188" s="18">
        <v>1271</v>
      </c>
      <c r="E188" s="7">
        <f t="shared" si="45"/>
        <v>1738.85</v>
      </c>
      <c r="F188" s="7">
        <f t="shared" si="48"/>
        <v>1780.9449999999997</v>
      </c>
      <c r="G188" s="7">
        <f t="shared" si="51"/>
        <v>1837.1640000000004</v>
      </c>
      <c r="H188" s="4"/>
      <c r="I188" s="7">
        <f t="shared" si="40"/>
        <v>-4.4500000000000455</v>
      </c>
      <c r="J188" s="4" t="str">
        <f t="shared" si="36"/>
        <v xml:space="preserve"> </v>
      </c>
      <c r="K188" s="4">
        <f t="shared" si="37"/>
        <v>-4.4500000000000455</v>
      </c>
      <c r="L188" s="5">
        <f t="shared" si="46"/>
        <v>246</v>
      </c>
      <c r="M188" s="5">
        <f t="shared" si="49"/>
        <v>240.09450000000001</v>
      </c>
      <c r="N188" s="5">
        <f t="shared" si="52"/>
        <v>230.27899999999994</v>
      </c>
      <c r="O188" s="5"/>
      <c r="P188" s="5">
        <f t="shared" si="41"/>
        <v>8.3000000000000114</v>
      </c>
      <c r="Q188" s="5">
        <f t="shared" si="42"/>
        <v>8.3000000000000114</v>
      </c>
      <c r="R188" s="5" t="str">
        <f t="shared" si="43"/>
        <v xml:space="preserve"> </v>
      </c>
      <c r="S188" s="8">
        <f t="shared" si="47"/>
        <v>1230.22</v>
      </c>
      <c r="T188" s="8">
        <f t="shared" si="50"/>
        <v>1313.9974999999999</v>
      </c>
      <c r="U188" s="8">
        <f t="shared" si="53"/>
        <v>1397.3120000000001</v>
      </c>
      <c r="V188" s="6"/>
      <c r="W188" s="8">
        <f t="shared" si="44"/>
        <v>25</v>
      </c>
      <c r="X188" s="6">
        <f t="shared" si="38"/>
        <v>25</v>
      </c>
      <c r="Y188" s="6" t="str">
        <f t="shared" si="39"/>
        <v xml:space="preserve"> </v>
      </c>
    </row>
    <row r="189" spans="1:25" x14ac:dyDescent="0.35">
      <c r="A189" s="13">
        <v>45678</v>
      </c>
      <c r="B189" s="15">
        <v>1712</v>
      </c>
      <c r="C189" s="11">
        <v>259.95</v>
      </c>
      <c r="D189" s="18">
        <v>1239.55</v>
      </c>
      <c r="E189" s="7">
        <f t="shared" si="45"/>
        <v>1727.2300000000002</v>
      </c>
      <c r="F189" s="7">
        <f t="shared" si="48"/>
        <v>1772.0425</v>
      </c>
      <c r="G189" s="7">
        <f t="shared" si="51"/>
        <v>1833.0240000000006</v>
      </c>
      <c r="H189" s="4"/>
      <c r="I189" s="7">
        <f t="shared" si="40"/>
        <v>-30.549999999999955</v>
      </c>
      <c r="J189" s="4" t="str">
        <f t="shared" si="36"/>
        <v xml:space="preserve"> </v>
      </c>
      <c r="K189" s="4">
        <f t="shared" si="37"/>
        <v>-30.549999999999955</v>
      </c>
      <c r="L189" s="5">
        <f t="shared" si="46"/>
        <v>251.09</v>
      </c>
      <c r="M189" s="5">
        <f t="shared" si="49"/>
        <v>241.9</v>
      </c>
      <c r="N189" s="5">
        <f t="shared" si="52"/>
        <v>230.86519999999993</v>
      </c>
      <c r="O189" s="5"/>
      <c r="P189" s="5">
        <f t="shared" si="41"/>
        <v>-3.3500000000000227</v>
      </c>
      <c r="Q189" s="5" t="str">
        <f t="shared" si="42"/>
        <v xml:space="preserve"> </v>
      </c>
      <c r="R189" s="5">
        <f t="shared" si="43"/>
        <v>-3.3500000000000227</v>
      </c>
      <c r="S189" s="8">
        <f t="shared" si="47"/>
        <v>1231.3300000000002</v>
      </c>
      <c r="T189" s="8">
        <f t="shared" si="50"/>
        <v>1307.9449999999999</v>
      </c>
      <c r="U189" s="8">
        <f t="shared" si="53"/>
        <v>1393.1630000000002</v>
      </c>
      <c r="V189" s="6"/>
      <c r="W189" s="8">
        <f t="shared" si="44"/>
        <v>-31.450000000000045</v>
      </c>
      <c r="X189" s="6" t="str">
        <f t="shared" si="38"/>
        <v xml:space="preserve"> </v>
      </c>
      <c r="Y189" s="6">
        <f t="shared" si="39"/>
        <v>-31.450000000000045</v>
      </c>
    </row>
    <row r="190" spans="1:25" x14ac:dyDescent="0.35">
      <c r="A190" s="13">
        <v>45677</v>
      </c>
      <c r="B190" s="15">
        <v>1737</v>
      </c>
      <c r="C190" s="11">
        <v>275.8</v>
      </c>
      <c r="D190" s="18">
        <v>1246.3499999999999</v>
      </c>
      <c r="E190" s="7">
        <f t="shared" si="45"/>
        <v>1733.6200000000001</v>
      </c>
      <c r="F190" s="7">
        <f t="shared" si="48"/>
        <v>1766.9424999999997</v>
      </c>
      <c r="G190" s="7">
        <f t="shared" si="51"/>
        <v>1829.3370000000007</v>
      </c>
      <c r="H190" s="4"/>
      <c r="I190" s="7">
        <f t="shared" si="40"/>
        <v>25</v>
      </c>
      <c r="J190" s="4">
        <f t="shared" si="36"/>
        <v>25</v>
      </c>
      <c r="K190" s="4" t="str">
        <f t="shared" si="37"/>
        <v xml:space="preserve"> </v>
      </c>
      <c r="L190" s="5">
        <f t="shared" si="46"/>
        <v>259.59000000000003</v>
      </c>
      <c r="M190" s="5">
        <f t="shared" si="49"/>
        <v>244.57750000000001</v>
      </c>
      <c r="N190" s="5">
        <f t="shared" si="52"/>
        <v>231.78299999999993</v>
      </c>
      <c r="O190" s="5"/>
      <c r="P190" s="5">
        <f t="shared" si="41"/>
        <v>15.850000000000023</v>
      </c>
      <c r="Q190" s="5">
        <f t="shared" si="42"/>
        <v>15.850000000000023</v>
      </c>
      <c r="R190" s="5" t="str">
        <f t="shared" si="43"/>
        <v xml:space="preserve"> </v>
      </c>
      <c r="S190" s="8">
        <f t="shared" si="47"/>
        <v>1245.48</v>
      </c>
      <c r="T190" s="8">
        <f t="shared" si="50"/>
        <v>1301.9549999999997</v>
      </c>
      <c r="U190" s="8">
        <f t="shared" si="53"/>
        <v>1388.9100000000003</v>
      </c>
      <c r="V190" s="6"/>
      <c r="W190" s="8">
        <f t="shared" si="44"/>
        <v>6.7999999999999545</v>
      </c>
      <c r="X190" s="6">
        <f t="shared" si="38"/>
        <v>6.7999999999999545</v>
      </c>
      <c r="Y190" s="6" t="str">
        <f t="shared" si="39"/>
        <v xml:space="preserve"> </v>
      </c>
    </row>
    <row r="191" spans="1:25" x14ac:dyDescent="0.35">
      <c r="A191" s="13">
        <v>45674</v>
      </c>
      <c r="B191" s="15">
        <v>1682.7</v>
      </c>
      <c r="C191" s="11">
        <v>278.75</v>
      </c>
      <c r="D191" s="18">
        <v>1257.8499999999999</v>
      </c>
      <c r="E191" s="7">
        <f t="shared" si="45"/>
        <v>1724.25</v>
      </c>
      <c r="F191" s="7">
        <f t="shared" si="48"/>
        <v>1758.9599999999998</v>
      </c>
      <c r="G191" s="7">
        <f t="shared" si="51"/>
        <v>1824.1530000000005</v>
      </c>
      <c r="H191" s="4"/>
      <c r="I191" s="7">
        <f t="shared" si="40"/>
        <v>-54.299999999999955</v>
      </c>
      <c r="J191" s="4" t="str">
        <f t="shared" si="36"/>
        <v xml:space="preserve"> </v>
      </c>
      <c r="K191" s="4">
        <f t="shared" si="37"/>
        <v>-54.299999999999955</v>
      </c>
      <c r="L191" s="5">
        <f t="shared" si="46"/>
        <v>266.56</v>
      </c>
      <c r="M191" s="5">
        <f t="shared" si="49"/>
        <v>247.11999999999998</v>
      </c>
      <c r="N191" s="5">
        <f t="shared" si="52"/>
        <v>232.7391999999999</v>
      </c>
      <c r="O191" s="5"/>
      <c r="P191" s="5">
        <f t="shared" si="41"/>
        <v>2.9499999999999886</v>
      </c>
      <c r="Q191" s="5">
        <f t="shared" si="42"/>
        <v>2.9499999999999886</v>
      </c>
      <c r="R191" s="5" t="str">
        <f t="shared" si="43"/>
        <v xml:space="preserve"> </v>
      </c>
      <c r="S191" s="8">
        <f t="shared" si="47"/>
        <v>1252.1500000000001</v>
      </c>
      <c r="T191" s="8">
        <f t="shared" si="50"/>
        <v>1295.3524999999995</v>
      </c>
      <c r="U191" s="8">
        <f t="shared" si="53"/>
        <v>1384.6870000000001</v>
      </c>
      <c r="V191" s="6"/>
      <c r="W191" s="8">
        <f t="shared" si="44"/>
        <v>11.5</v>
      </c>
      <c r="X191" s="6">
        <f t="shared" si="38"/>
        <v>11.5</v>
      </c>
      <c r="Y191" s="6" t="str">
        <f t="shared" si="39"/>
        <v xml:space="preserve"> </v>
      </c>
    </row>
    <row r="192" spans="1:25" x14ac:dyDescent="0.35">
      <c r="A192" s="13">
        <v>45673</v>
      </c>
      <c r="B192" s="15">
        <v>1695.9</v>
      </c>
      <c r="C192" s="11">
        <v>276.45</v>
      </c>
      <c r="D192" s="18">
        <v>1282</v>
      </c>
      <c r="E192" s="7">
        <f t="shared" si="45"/>
        <v>1714.03</v>
      </c>
      <c r="F192" s="7">
        <f t="shared" si="48"/>
        <v>1754.1424999999999</v>
      </c>
      <c r="G192" s="7">
        <f t="shared" si="51"/>
        <v>1818.0250000000003</v>
      </c>
      <c r="H192" s="4"/>
      <c r="I192" s="7">
        <f t="shared" si="40"/>
        <v>13.200000000000045</v>
      </c>
      <c r="J192" s="4">
        <f t="shared" si="36"/>
        <v>13.200000000000045</v>
      </c>
      <c r="K192" s="4" t="str">
        <f t="shared" si="37"/>
        <v xml:space="preserve"> </v>
      </c>
      <c r="L192" s="5">
        <f t="shared" si="46"/>
        <v>270.85000000000002</v>
      </c>
      <c r="M192" s="5">
        <f t="shared" si="49"/>
        <v>249.53500000000003</v>
      </c>
      <c r="N192" s="5">
        <f t="shared" si="52"/>
        <v>233.72759999999994</v>
      </c>
      <c r="O192" s="5"/>
      <c r="P192" s="5">
        <f t="shared" si="41"/>
        <v>-2.3000000000000114</v>
      </c>
      <c r="Q192" s="5" t="str">
        <f t="shared" si="42"/>
        <v xml:space="preserve"> </v>
      </c>
      <c r="R192" s="5">
        <f t="shared" si="43"/>
        <v>-2.3000000000000114</v>
      </c>
      <c r="S192" s="8">
        <f t="shared" si="47"/>
        <v>1259.3499999999999</v>
      </c>
      <c r="T192" s="8">
        <f t="shared" si="50"/>
        <v>1291.9024999999997</v>
      </c>
      <c r="U192" s="8">
        <f t="shared" si="53"/>
        <v>1379.817</v>
      </c>
      <c r="V192" s="6"/>
      <c r="W192" s="8">
        <f t="shared" si="44"/>
        <v>24.150000000000091</v>
      </c>
      <c r="X192" s="6">
        <f t="shared" si="38"/>
        <v>24.150000000000091</v>
      </c>
      <c r="Y192" s="6" t="str">
        <f t="shared" si="39"/>
        <v xml:space="preserve"> </v>
      </c>
    </row>
    <row r="193" spans="1:25" x14ac:dyDescent="0.35">
      <c r="A193" s="13">
        <v>45672</v>
      </c>
      <c r="B193" s="15">
        <v>1674.8</v>
      </c>
      <c r="C193" s="11">
        <v>274</v>
      </c>
      <c r="D193" s="18">
        <v>1255.8</v>
      </c>
      <c r="E193" s="7">
        <f t="shared" si="45"/>
        <v>1700.48</v>
      </c>
      <c r="F193" s="7">
        <f t="shared" si="48"/>
        <v>1750.6799999999998</v>
      </c>
      <c r="G193" s="7">
        <f t="shared" si="51"/>
        <v>1811.5410000000004</v>
      </c>
      <c r="H193" s="4"/>
      <c r="I193" s="7">
        <f t="shared" si="40"/>
        <v>-21.100000000000136</v>
      </c>
      <c r="J193" s="4" t="str">
        <f t="shared" si="36"/>
        <v xml:space="preserve"> </v>
      </c>
      <c r="K193" s="4">
        <f t="shared" si="37"/>
        <v>-21.100000000000136</v>
      </c>
      <c r="L193" s="5">
        <f t="shared" si="46"/>
        <v>272.99</v>
      </c>
      <c r="M193" s="5">
        <f t="shared" si="49"/>
        <v>251.41</v>
      </c>
      <c r="N193" s="5">
        <f t="shared" si="52"/>
        <v>234.70359999999997</v>
      </c>
      <c r="O193" s="5"/>
      <c r="P193" s="5">
        <f t="shared" si="41"/>
        <v>-2.4499999999999886</v>
      </c>
      <c r="Q193" s="5" t="str">
        <f t="shared" si="42"/>
        <v xml:space="preserve"> </v>
      </c>
      <c r="R193" s="5">
        <f t="shared" si="43"/>
        <v>-2.4499999999999886</v>
      </c>
      <c r="S193" s="8">
        <f t="shared" si="47"/>
        <v>1256.31</v>
      </c>
      <c r="T193" s="8">
        <f t="shared" si="50"/>
        <v>1289.0224999999998</v>
      </c>
      <c r="U193" s="8">
        <f t="shared" si="53"/>
        <v>1374.3730000000003</v>
      </c>
      <c r="V193" s="6"/>
      <c r="W193" s="8">
        <f t="shared" si="44"/>
        <v>-26.200000000000045</v>
      </c>
      <c r="X193" s="6" t="str">
        <f t="shared" si="38"/>
        <v xml:space="preserve"> </v>
      </c>
      <c r="Y193" s="6">
        <f t="shared" si="39"/>
        <v>-26.200000000000045</v>
      </c>
    </row>
    <row r="194" spans="1:25" x14ac:dyDescent="0.35">
      <c r="A194" s="13">
        <v>45671</v>
      </c>
      <c r="B194" s="15">
        <v>1727</v>
      </c>
      <c r="C194" s="11">
        <v>273.75</v>
      </c>
      <c r="D194" s="18">
        <v>1277.05</v>
      </c>
      <c r="E194" s="7">
        <f t="shared" si="45"/>
        <v>1703.4800000000002</v>
      </c>
      <c r="F194" s="7">
        <f t="shared" si="48"/>
        <v>1747.5775000000001</v>
      </c>
      <c r="G194" s="7">
        <f t="shared" si="51"/>
        <v>1807.3810000000003</v>
      </c>
      <c r="H194" s="4"/>
      <c r="I194" s="7">
        <f t="shared" si="40"/>
        <v>52.200000000000045</v>
      </c>
      <c r="J194" s="4">
        <f t="shared" si="36"/>
        <v>52.200000000000045</v>
      </c>
      <c r="K194" s="4" t="str">
        <f t="shared" si="37"/>
        <v xml:space="preserve"> </v>
      </c>
      <c r="L194" s="5">
        <f t="shared" si="46"/>
        <v>275.75</v>
      </c>
      <c r="M194" s="5">
        <f t="shared" si="49"/>
        <v>252.93750000000006</v>
      </c>
      <c r="N194" s="5">
        <f t="shared" si="52"/>
        <v>235.73519999999994</v>
      </c>
      <c r="O194" s="5"/>
      <c r="P194" s="5">
        <f t="shared" si="41"/>
        <v>-0.25</v>
      </c>
      <c r="Q194" s="5" t="str">
        <f t="shared" si="42"/>
        <v xml:space="preserve"> </v>
      </c>
      <c r="R194" s="5">
        <f t="shared" si="43"/>
        <v>-0.25</v>
      </c>
      <c r="S194" s="8">
        <f t="shared" si="47"/>
        <v>1263.81</v>
      </c>
      <c r="T194" s="8">
        <f t="shared" si="50"/>
        <v>1285.7324999999998</v>
      </c>
      <c r="U194" s="8">
        <f t="shared" si="53"/>
        <v>1369.5540000000003</v>
      </c>
      <c r="V194" s="6"/>
      <c r="W194" s="8">
        <f t="shared" si="44"/>
        <v>21.25</v>
      </c>
      <c r="X194" s="6">
        <f t="shared" si="38"/>
        <v>21.25</v>
      </c>
      <c r="Y194" s="6" t="str">
        <f t="shared" si="39"/>
        <v xml:space="preserve"> </v>
      </c>
    </row>
    <row r="195" spans="1:25" x14ac:dyDescent="0.35">
      <c r="A195" s="13">
        <v>45670</v>
      </c>
      <c r="B195" s="15">
        <v>1674.85</v>
      </c>
      <c r="C195" s="11">
        <v>265.8</v>
      </c>
      <c r="D195" s="18">
        <v>1223.1500000000001</v>
      </c>
      <c r="E195" s="7">
        <f t="shared" si="45"/>
        <v>1691.05</v>
      </c>
      <c r="F195" s="7">
        <f t="shared" si="48"/>
        <v>1741.3200000000002</v>
      </c>
      <c r="G195" s="7">
        <f t="shared" si="51"/>
        <v>1802.1690000000006</v>
      </c>
      <c r="H195" s="4"/>
      <c r="I195" s="7">
        <f t="shared" si="40"/>
        <v>-52.150000000000091</v>
      </c>
      <c r="J195" s="4" t="str">
        <f t="shared" ref="J195:J258" si="54">IF(I195&gt;0,I195," ")</f>
        <v xml:space="preserve"> </v>
      </c>
      <c r="K195" s="4">
        <f t="shared" ref="K195:K250" si="55">IF(I195&lt;0,I195," ")</f>
        <v>-52.150000000000091</v>
      </c>
      <c r="L195" s="5">
        <f t="shared" si="46"/>
        <v>273.75</v>
      </c>
      <c r="M195" s="5">
        <f t="shared" si="49"/>
        <v>253.75250000000005</v>
      </c>
      <c r="N195" s="5">
        <f t="shared" si="52"/>
        <v>236.51319999999996</v>
      </c>
      <c r="O195" s="5"/>
      <c r="P195" s="5">
        <f t="shared" si="41"/>
        <v>-7.9499999999999886</v>
      </c>
      <c r="Q195" s="5" t="str">
        <f t="shared" si="42"/>
        <v xml:space="preserve"> </v>
      </c>
      <c r="R195" s="5">
        <f t="shared" si="43"/>
        <v>-7.9499999999999886</v>
      </c>
      <c r="S195" s="8">
        <f t="shared" si="47"/>
        <v>1259.17</v>
      </c>
      <c r="T195" s="8">
        <f t="shared" si="50"/>
        <v>1278.1399999999999</v>
      </c>
      <c r="U195" s="8">
        <f t="shared" si="53"/>
        <v>1363.5169999999998</v>
      </c>
      <c r="V195" s="6"/>
      <c r="W195" s="8">
        <f t="shared" si="44"/>
        <v>-53.899999999999864</v>
      </c>
      <c r="X195" s="6" t="str">
        <f t="shared" ref="X195:X258" si="56">IF(W195&gt;0,W195," ")</f>
        <v xml:space="preserve"> </v>
      </c>
      <c r="Y195" s="6">
        <f t="shared" ref="Y195:Y250" si="57">IF(W195&lt;0,W195," ")</f>
        <v>-53.899999999999864</v>
      </c>
    </row>
    <row r="196" spans="1:25" x14ac:dyDescent="0.35">
      <c r="A196" s="13">
        <v>45667</v>
      </c>
      <c r="B196" s="15">
        <v>1698.85</v>
      </c>
      <c r="C196" s="11">
        <v>280.89999999999998</v>
      </c>
      <c r="D196" s="18">
        <v>1251</v>
      </c>
      <c r="E196" s="7">
        <f t="shared" si="45"/>
        <v>1694.28</v>
      </c>
      <c r="F196" s="7">
        <f t="shared" si="48"/>
        <v>1736.7150000000001</v>
      </c>
      <c r="G196" s="7">
        <f t="shared" si="51"/>
        <v>1798.2390000000005</v>
      </c>
      <c r="H196" s="4"/>
      <c r="I196" s="7">
        <f t="shared" ref="I196:I250" si="58">B196-B195</f>
        <v>24</v>
      </c>
      <c r="J196" s="4">
        <f t="shared" si="54"/>
        <v>24</v>
      </c>
      <c r="K196" s="4" t="str">
        <f t="shared" si="55"/>
        <v xml:space="preserve"> </v>
      </c>
      <c r="L196" s="5">
        <f t="shared" si="46"/>
        <v>274.18</v>
      </c>
      <c r="M196" s="5">
        <f t="shared" si="49"/>
        <v>255.24249999999998</v>
      </c>
      <c r="N196" s="5">
        <f t="shared" si="52"/>
        <v>237.47319999999996</v>
      </c>
      <c r="O196" s="5"/>
      <c r="P196" s="5">
        <f t="shared" ref="P196:P250" si="59">C196-C195</f>
        <v>15.099999999999966</v>
      </c>
      <c r="Q196" s="5">
        <f t="shared" ref="Q196:Q250" si="60">IF(P196&gt;0, P196," ")</f>
        <v>15.099999999999966</v>
      </c>
      <c r="R196" s="5" t="str">
        <f t="shared" ref="R196:R250" si="61">IF(P196&lt;0,P196," ")</f>
        <v xml:space="preserve"> </v>
      </c>
      <c r="S196" s="8">
        <f t="shared" si="47"/>
        <v>1257.8</v>
      </c>
      <c r="T196" s="8">
        <f t="shared" si="50"/>
        <v>1271.57</v>
      </c>
      <c r="U196" s="8">
        <f t="shared" si="53"/>
        <v>1357.8970000000002</v>
      </c>
      <c r="V196" s="6"/>
      <c r="W196" s="8">
        <f t="shared" ref="W196:W250" si="62">D196-D195</f>
        <v>27.849999999999909</v>
      </c>
      <c r="X196" s="6">
        <f t="shared" si="56"/>
        <v>27.849999999999909</v>
      </c>
      <c r="Y196" s="6" t="str">
        <f t="shared" si="57"/>
        <v xml:space="preserve"> </v>
      </c>
    </row>
    <row r="197" spans="1:25" x14ac:dyDescent="0.35">
      <c r="A197" s="13">
        <v>45666</v>
      </c>
      <c r="B197" s="15">
        <v>1689</v>
      </c>
      <c r="C197" s="11">
        <v>289.85000000000002</v>
      </c>
      <c r="D197" s="18">
        <v>1286</v>
      </c>
      <c r="E197" s="7">
        <f t="shared" si="45"/>
        <v>1692.9</v>
      </c>
      <c r="F197" s="7">
        <f t="shared" si="48"/>
        <v>1731.5724999999998</v>
      </c>
      <c r="G197" s="7">
        <f t="shared" si="51"/>
        <v>1795.1790000000005</v>
      </c>
      <c r="H197" s="4"/>
      <c r="I197" s="7">
        <f t="shared" si="58"/>
        <v>-9.8499999999999091</v>
      </c>
      <c r="J197" s="4" t="str">
        <f t="shared" si="54"/>
        <v xml:space="preserve"> </v>
      </c>
      <c r="K197" s="4">
        <f t="shared" si="55"/>
        <v>-9.8499999999999091</v>
      </c>
      <c r="L197" s="5">
        <f t="shared" si="46"/>
        <v>276.85999999999996</v>
      </c>
      <c r="M197" s="5">
        <f t="shared" si="49"/>
        <v>257.26499999999999</v>
      </c>
      <c r="N197" s="5">
        <f t="shared" si="52"/>
        <v>238.67859999999993</v>
      </c>
      <c r="O197" s="5"/>
      <c r="P197" s="5">
        <f t="shared" si="59"/>
        <v>8.9500000000000455</v>
      </c>
      <c r="Q197" s="5">
        <f t="shared" si="60"/>
        <v>8.9500000000000455</v>
      </c>
      <c r="R197" s="5" t="str">
        <f t="shared" si="61"/>
        <v xml:space="preserve"> </v>
      </c>
      <c r="S197" s="8">
        <f t="shared" si="47"/>
        <v>1258.5999999999999</v>
      </c>
      <c r="T197" s="8">
        <f t="shared" si="50"/>
        <v>1266.5249999999999</v>
      </c>
      <c r="U197" s="8">
        <f t="shared" si="53"/>
        <v>1352.7990000000002</v>
      </c>
      <c r="V197" s="6"/>
      <c r="W197" s="8">
        <f t="shared" si="62"/>
        <v>35</v>
      </c>
      <c r="X197" s="6">
        <f t="shared" si="56"/>
        <v>35</v>
      </c>
      <c r="Y197" s="6" t="str">
        <f t="shared" si="57"/>
        <v xml:space="preserve"> </v>
      </c>
    </row>
    <row r="198" spans="1:25" x14ac:dyDescent="0.35">
      <c r="A198" s="13">
        <v>45665</v>
      </c>
      <c r="B198" s="15">
        <v>1695</v>
      </c>
      <c r="C198" s="11">
        <v>298.35000000000002</v>
      </c>
      <c r="D198" s="18">
        <v>1271.3499999999999</v>
      </c>
      <c r="E198" s="7">
        <f t="shared" si="45"/>
        <v>1696.94</v>
      </c>
      <c r="F198" s="7">
        <f t="shared" si="48"/>
        <v>1726.1174999999998</v>
      </c>
      <c r="G198" s="7">
        <f t="shared" si="51"/>
        <v>1792.0390000000002</v>
      </c>
      <c r="H198" s="4"/>
      <c r="I198" s="7">
        <f t="shared" si="58"/>
        <v>6</v>
      </c>
      <c r="J198" s="4">
        <f t="shared" si="54"/>
        <v>6</v>
      </c>
      <c r="K198" s="4" t="str">
        <f t="shared" si="55"/>
        <v xml:space="preserve"> </v>
      </c>
      <c r="L198" s="5">
        <f t="shared" si="46"/>
        <v>281.73</v>
      </c>
      <c r="M198" s="5">
        <f t="shared" si="49"/>
        <v>259.9325</v>
      </c>
      <c r="N198" s="5">
        <f t="shared" si="52"/>
        <v>240.00559999999999</v>
      </c>
      <c r="O198" s="5"/>
      <c r="P198" s="5">
        <f t="shared" si="59"/>
        <v>8.5</v>
      </c>
      <c r="Q198" s="5">
        <f t="shared" si="60"/>
        <v>8.5</v>
      </c>
      <c r="R198" s="5" t="str">
        <f t="shared" si="61"/>
        <v xml:space="preserve"> </v>
      </c>
      <c r="S198" s="8">
        <f t="shared" si="47"/>
        <v>1261.7099999999998</v>
      </c>
      <c r="T198" s="8">
        <f t="shared" si="50"/>
        <v>1260.6924999999999</v>
      </c>
      <c r="U198" s="8">
        <f t="shared" si="53"/>
        <v>1348.2860000000003</v>
      </c>
      <c r="V198" s="6"/>
      <c r="W198" s="8">
        <f t="shared" si="62"/>
        <v>-14.650000000000091</v>
      </c>
      <c r="X198" s="6" t="str">
        <f t="shared" si="56"/>
        <v xml:space="preserve"> </v>
      </c>
      <c r="Y198" s="6">
        <f t="shared" si="57"/>
        <v>-14.650000000000091</v>
      </c>
    </row>
    <row r="199" spans="1:25" x14ac:dyDescent="0.35">
      <c r="A199" s="13">
        <v>45664</v>
      </c>
      <c r="B199" s="15">
        <v>1680.05</v>
      </c>
      <c r="C199" s="11">
        <v>299</v>
      </c>
      <c r="D199" s="18">
        <v>1272.0999999999999</v>
      </c>
      <c r="E199" s="7">
        <f t="shared" ref="E199:E250" si="63">AVERAGE(B195:B199)</f>
        <v>1687.55</v>
      </c>
      <c r="F199" s="7">
        <f t="shared" si="48"/>
        <v>1720.3825000000002</v>
      </c>
      <c r="G199" s="7">
        <f t="shared" si="51"/>
        <v>1788.8200000000004</v>
      </c>
      <c r="H199" s="4"/>
      <c r="I199" s="7">
        <f t="shared" si="58"/>
        <v>-14.950000000000045</v>
      </c>
      <c r="J199" s="4" t="str">
        <f t="shared" si="54"/>
        <v xml:space="preserve"> </v>
      </c>
      <c r="K199" s="4">
        <f t="shared" si="55"/>
        <v>-14.950000000000045</v>
      </c>
      <c r="L199" s="5">
        <f t="shared" ref="L199:L250" si="64">AVERAGE(C195:C199)</f>
        <v>286.78000000000003</v>
      </c>
      <c r="M199" s="5">
        <f t="shared" si="49"/>
        <v>263.16750000000002</v>
      </c>
      <c r="N199" s="5">
        <f t="shared" si="52"/>
        <v>241.42359999999996</v>
      </c>
      <c r="O199" s="5"/>
      <c r="P199" s="5">
        <f t="shared" si="59"/>
        <v>0.64999999999997726</v>
      </c>
      <c r="Q199" s="5">
        <f t="shared" si="60"/>
        <v>0.64999999999997726</v>
      </c>
      <c r="R199" s="5" t="str">
        <f t="shared" si="61"/>
        <v xml:space="preserve"> </v>
      </c>
      <c r="S199" s="8">
        <f t="shared" ref="S199:S250" si="65">AVERAGE(D195:D199)</f>
        <v>1260.72</v>
      </c>
      <c r="T199" s="8">
        <f t="shared" si="50"/>
        <v>1257.3724999999999</v>
      </c>
      <c r="U199" s="8">
        <f t="shared" si="53"/>
        <v>1343.4960000000003</v>
      </c>
      <c r="V199" s="6"/>
      <c r="W199" s="8">
        <f t="shared" si="62"/>
        <v>0.75</v>
      </c>
      <c r="X199" s="6">
        <f t="shared" si="56"/>
        <v>0.75</v>
      </c>
      <c r="Y199" s="6" t="str">
        <f t="shared" si="57"/>
        <v xml:space="preserve"> </v>
      </c>
    </row>
    <row r="200" spans="1:25" x14ac:dyDescent="0.35">
      <c r="A200" s="13">
        <v>45663</v>
      </c>
      <c r="B200" s="15">
        <v>1689</v>
      </c>
      <c r="C200" s="11">
        <v>296.35000000000002</v>
      </c>
      <c r="D200" s="18">
        <v>1293</v>
      </c>
      <c r="E200" s="7">
        <f t="shared" si="63"/>
        <v>1690.3800000000003</v>
      </c>
      <c r="F200" s="7">
        <f t="shared" si="48"/>
        <v>1716.5174999999995</v>
      </c>
      <c r="G200" s="7">
        <f t="shared" si="51"/>
        <v>1785.6700000000005</v>
      </c>
      <c r="H200" s="4"/>
      <c r="I200" s="7">
        <f t="shared" si="58"/>
        <v>8.9500000000000455</v>
      </c>
      <c r="J200" s="4">
        <f t="shared" si="54"/>
        <v>8.9500000000000455</v>
      </c>
      <c r="K200" s="4" t="str">
        <f t="shared" si="55"/>
        <v xml:space="preserve"> </v>
      </c>
      <c r="L200" s="5">
        <f t="shared" si="64"/>
        <v>292.89</v>
      </c>
      <c r="M200" s="5">
        <f t="shared" si="49"/>
        <v>265.91000000000003</v>
      </c>
      <c r="N200" s="5">
        <f t="shared" si="52"/>
        <v>242.84639999999999</v>
      </c>
      <c r="O200" s="5"/>
      <c r="P200" s="5">
        <f t="shared" si="59"/>
        <v>-2.6499999999999773</v>
      </c>
      <c r="Q200" s="5" t="str">
        <f t="shared" si="60"/>
        <v xml:space="preserve"> </v>
      </c>
      <c r="R200" s="5">
        <f t="shared" si="61"/>
        <v>-2.6499999999999773</v>
      </c>
      <c r="S200" s="8">
        <f t="shared" si="65"/>
        <v>1274.69</v>
      </c>
      <c r="T200" s="8">
        <f t="shared" si="50"/>
        <v>1258.7724999999998</v>
      </c>
      <c r="U200" s="8">
        <f t="shared" si="53"/>
        <v>1339.1880000000001</v>
      </c>
      <c r="V200" s="6"/>
      <c r="W200" s="8">
        <f t="shared" si="62"/>
        <v>20.900000000000091</v>
      </c>
      <c r="X200" s="6">
        <f t="shared" si="56"/>
        <v>20.900000000000091</v>
      </c>
      <c r="Y200" s="6" t="str">
        <f t="shared" si="57"/>
        <v xml:space="preserve"> </v>
      </c>
    </row>
    <row r="201" spans="1:25" x14ac:dyDescent="0.35">
      <c r="A201" s="13">
        <v>45660</v>
      </c>
      <c r="B201" s="15">
        <v>1698</v>
      </c>
      <c r="C201" s="11">
        <v>307.14999999999998</v>
      </c>
      <c r="D201" s="18">
        <v>1315.9</v>
      </c>
      <c r="E201" s="7">
        <f t="shared" si="63"/>
        <v>1690.2099999999998</v>
      </c>
      <c r="F201" s="7">
        <f t="shared" si="48"/>
        <v>1714.3</v>
      </c>
      <c r="G201" s="7">
        <f t="shared" si="51"/>
        <v>1782.1280000000002</v>
      </c>
      <c r="H201" s="7">
        <f>AVERAGE(B2:B201)</f>
        <v>1945.5197499999986</v>
      </c>
      <c r="I201" s="7">
        <f t="shared" si="58"/>
        <v>9</v>
      </c>
      <c r="J201" s="4">
        <f t="shared" si="54"/>
        <v>9</v>
      </c>
      <c r="K201" s="4" t="str">
        <f t="shared" si="55"/>
        <v xml:space="preserve"> </v>
      </c>
      <c r="L201" s="5">
        <f t="shared" si="64"/>
        <v>298.14000000000004</v>
      </c>
      <c r="M201" s="5">
        <f t="shared" si="49"/>
        <v>269.10500000000002</v>
      </c>
      <c r="N201" s="5">
        <f t="shared" si="52"/>
        <v>244.59779999999998</v>
      </c>
      <c r="O201" s="5">
        <f>AVERAGE(C2:C201)</f>
        <v>280.14615000000003</v>
      </c>
      <c r="P201" s="5">
        <f t="shared" si="59"/>
        <v>10.799999999999955</v>
      </c>
      <c r="Q201" s="5">
        <f t="shared" si="60"/>
        <v>10.799999999999955</v>
      </c>
      <c r="R201" s="5" t="str">
        <f t="shared" si="61"/>
        <v xml:space="preserve"> </v>
      </c>
      <c r="S201" s="8">
        <f t="shared" si="65"/>
        <v>1287.67</v>
      </c>
      <c r="T201" s="8">
        <f t="shared" si="50"/>
        <v>1260.0099999999998</v>
      </c>
      <c r="U201" s="8">
        <f t="shared" si="53"/>
        <v>1336.3310000000001</v>
      </c>
      <c r="V201" s="8">
        <f>AVERAGE(D2:D201)</f>
        <v>1496.7084999999995</v>
      </c>
      <c r="W201" s="8">
        <f t="shared" si="62"/>
        <v>22.900000000000091</v>
      </c>
      <c r="X201" s="6">
        <f t="shared" si="56"/>
        <v>22.900000000000091</v>
      </c>
      <c r="Y201" s="6" t="str">
        <f t="shared" si="57"/>
        <v xml:space="preserve"> </v>
      </c>
    </row>
    <row r="202" spans="1:25" x14ac:dyDescent="0.35">
      <c r="A202" s="13">
        <v>45659</v>
      </c>
      <c r="B202" s="15">
        <v>1700</v>
      </c>
      <c r="C202" s="11">
        <v>304.55</v>
      </c>
      <c r="D202" s="18">
        <v>1269.95</v>
      </c>
      <c r="E202" s="7">
        <f t="shared" si="63"/>
        <v>1692.4099999999999</v>
      </c>
      <c r="F202" s="7">
        <f t="shared" si="48"/>
        <v>1711.8</v>
      </c>
      <c r="G202" s="7">
        <f t="shared" si="51"/>
        <v>1779.9880000000003</v>
      </c>
      <c r="H202" s="7">
        <f t="shared" ref="H202:H250" si="66">AVERAGE(B3:B202)</f>
        <v>1943.1397499999987</v>
      </c>
      <c r="I202" s="7">
        <f t="shared" si="58"/>
        <v>2</v>
      </c>
      <c r="J202" s="4">
        <f t="shared" si="54"/>
        <v>2</v>
      </c>
      <c r="K202" s="4" t="str">
        <f t="shared" si="55"/>
        <v xml:space="preserve"> </v>
      </c>
      <c r="L202" s="5">
        <f t="shared" si="64"/>
        <v>301.08</v>
      </c>
      <c r="M202" s="5">
        <f t="shared" si="49"/>
        <v>272.53750000000002</v>
      </c>
      <c r="N202" s="5">
        <f t="shared" si="52"/>
        <v>246.22679999999997</v>
      </c>
      <c r="O202" s="5">
        <f t="shared" ref="O202:O250" si="67">AVERAGE(C3:C202)</f>
        <v>280.12440000000004</v>
      </c>
      <c r="P202" s="5">
        <f t="shared" si="59"/>
        <v>-2.5999999999999659</v>
      </c>
      <c r="Q202" s="5" t="str">
        <f t="shared" si="60"/>
        <v xml:space="preserve"> </v>
      </c>
      <c r="R202" s="5">
        <f t="shared" si="61"/>
        <v>-2.5999999999999659</v>
      </c>
      <c r="S202" s="8">
        <f t="shared" si="65"/>
        <v>1284.46</v>
      </c>
      <c r="T202" s="8">
        <f t="shared" si="50"/>
        <v>1259.2574999999999</v>
      </c>
      <c r="U202" s="8">
        <f t="shared" si="53"/>
        <v>1332.9900000000002</v>
      </c>
      <c r="V202" s="8">
        <f t="shared" ref="V202:V250" si="68">AVERAGE(D3:D202)</f>
        <v>1494.6432499999999</v>
      </c>
      <c r="W202" s="8">
        <f t="shared" si="62"/>
        <v>-45.950000000000045</v>
      </c>
      <c r="X202" s="6" t="str">
        <f t="shared" si="56"/>
        <v xml:space="preserve"> </v>
      </c>
      <c r="Y202" s="6">
        <f t="shared" si="57"/>
        <v>-45.950000000000045</v>
      </c>
    </row>
    <row r="203" spans="1:25" x14ac:dyDescent="0.35">
      <c r="A203" s="13">
        <v>45658</v>
      </c>
      <c r="B203" s="15">
        <v>1577</v>
      </c>
      <c r="C203" s="11">
        <v>304.25</v>
      </c>
      <c r="D203" s="18">
        <v>1186.95</v>
      </c>
      <c r="E203" s="7">
        <f t="shared" si="63"/>
        <v>1668.81</v>
      </c>
      <c r="F203" s="7">
        <f t="shared" si="48"/>
        <v>1701.2699999999998</v>
      </c>
      <c r="G203" s="7">
        <f t="shared" si="51"/>
        <v>1775.0880000000002</v>
      </c>
      <c r="H203" s="7">
        <f t="shared" si="66"/>
        <v>1940.1997499999986</v>
      </c>
      <c r="I203" s="7">
        <f t="shared" si="58"/>
        <v>-123</v>
      </c>
      <c r="J203" s="4" t="str">
        <f t="shared" si="54"/>
        <v xml:space="preserve"> </v>
      </c>
      <c r="K203" s="4">
        <f t="shared" si="55"/>
        <v>-123</v>
      </c>
      <c r="L203" s="5">
        <f t="shared" si="64"/>
        <v>302.26</v>
      </c>
      <c r="M203" s="5">
        <f t="shared" si="49"/>
        <v>275.745</v>
      </c>
      <c r="N203" s="5">
        <f t="shared" si="52"/>
        <v>247.7936</v>
      </c>
      <c r="O203" s="5">
        <f t="shared" si="67"/>
        <v>280.08965000000006</v>
      </c>
      <c r="P203" s="5">
        <f t="shared" si="59"/>
        <v>-0.30000000000001137</v>
      </c>
      <c r="Q203" s="5" t="str">
        <f t="shared" si="60"/>
        <v xml:space="preserve"> </v>
      </c>
      <c r="R203" s="5">
        <f t="shared" si="61"/>
        <v>-0.30000000000001137</v>
      </c>
      <c r="S203" s="8">
        <f t="shared" si="65"/>
        <v>1267.58</v>
      </c>
      <c r="T203" s="8">
        <f t="shared" si="50"/>
        <v>1253.9549999999999</v>
      </c>
      <c r="U203" s="8">
        <f t="shared" si="53"/>
        <v>1327.8490000000002</v>
      </c>
      <c r="V203" s="8">
        <f t="shared" si="68"/>
        <v>1492.2179999999998</v>
      </c>
      <c r="W203" s="8">
        <f t="shared" si="62"/>
        <v>-83</v>
      </c>
      <c r="X203" s="6" t="str">
        <f t="shared" si="56"/>
        <v xml:space="preserve"> </v>
      </c>
      <c r="Y203" s="6">
        <f t="shared" si="57"/>
        <v>-83</v>
      </c>
    </row>
    <row r="204" spans="1:25" x14ac:dyDescent="0.35">
      <c r="A204" s="13">
        <v>45657</v>
      </c>
      <c r="B204" s="15">
        <v>1570</v>
      </c>
      <c r="C204" s="11">
        <v>298.89999999999998</v>
      </c>
      <c r="D204" s="18">
        <v>1187.8</v>
      </c>
      <c r="E204" s="7">
        <f t="shared" si="63"/>
        <v>1646.8</v>
      </c>
      <c r="F204" s="7">
        <f t="shared" si="48"/>
        <v>1691.2650000000001</v>
      </c>
      <c r="G204" s="7">
        <f t="shared" si="51"/>
        <v>1770.3240000000005</v>
      </c>
      <c r="H204" s="7">
        <f t="shared" si="66"/>
        <v>1937.3407499999987</v>
      </c>
      <c r="I204" s="7">
        <f t="shared" si="58"/>
        <v>-7</v>
      </c>
      <c r="J204" s="4" t="str">
        <f t="shared" si="54"/>
        <v xml:space="preserve"> </v>
      </c>
      <c r="K204" s="4">
        <f t="shared" si="55"/>
        <v>-7</v>
      </c>
      <c r="L204" s="5">
        <f t="shared" si="64"/>
        <v>302.23999999999995</v>
      </c>
      <c r="M204" s="5">
        <f t="shared" si="49"/>
        <v>278.96499999999997</v>
      </c>
      <c r="N204" s="5">
        <f t="shared" si="52"/>
        <v>249.39660000000001</v>
      </c>
      <c r="O204" s="5">
        <f t="shared" si="67"/>
        <v>280.02915000000007</v>
      </c>
      <c r="P204" s="5">
        <f t="shared" si="59"/>
        <v>-5.3500000000000227</v>
      </c>
      <c r="Q204" s="5" t="str">
        <f t="shared" si="60"/>
        <v xml:space="preserve"> </v>
      </c>
      <c r="R204" s="5">
        <f t="shared" si="61"/>
        <v>-5.3500000000000227</v>
      </c>
      <c r="S204" s="8">
        <f t="shared" si="65"/>
        <v>1250.72</v>
      </c>
      <c r="T204" s="8">
        <f t="shared" si="50"/>
        <v>1251.645</v>
      </c>
      <c r="U204" s="8">
        <f t="shared" si="53"/>
        <v>1322.5050000000001</v>
      </c>
      <c r="V204" s="8">
        <f t="shared" si="68"/>
        <v>1489.7819999999999</v>
      </c>
      <c r="W204" s="8">
        <f t="shared" si="62"/>
        <v>0.84999999999990905</v>
      </c>
      <c r="X204" s="6">
        <f t="shared" si="56"/>
        <v>0.84999999999990905</v>
      </c>
      <c r="Y204" s="6" t="str">
        <f t="shared" si="57"/>
        <v xml:space="preserve"> </v>
      </c>
    </row>
    <row r="205" spans="1:25" x14ac:dyDescent="0.35">
      <c r="A205" s="13">
        <v>45656</v>
      </c>
      <c r="B205" s="15">
        <v>1572.95</v>
      </c>
      <c r="C205" s="11">
        <v>304.8</v>
      </c>
      <c r="D205" s="18">
        <v>1217</v>
      </c>
      <c r="E205" s="7">
        <f t="shared" si="63"/>
        <v>1623.59</v>
      </c>
      <c r="F205" s="7">
        <f t="shared" si="48"/>
        <v>1684.6599999999999</v>
      </c>
      <c r="G205" s="7">
        <f t="shared" si="51"/>
        <v>1765.0320000000004</v>
      </c>
      <c r="H205" s="7">
        <f t="shared" si="66"/>
        <v>1934.7999999999986</v>
      </c>
      <c r="I205" s="7">
        <f t="shared" si="58"/>
        <v>2.9500000000000455</v>
      </c>
      <c r="J205" s="4">
        <f t="shared" si="54"/>
        <v>2.9500000000000455</v>
      </c>
      <c r="K205" s="4" t="str">
        <f t="shared" si="55"/>
        <v xml:space="preserve"> </v>
      </c>
      <c r="L205" s="5">
        <f t="shared" si="64"/>
        <v>303.92999999999995</v>
      </c>
      <c r="M205" s="5">
        <f t="shared" si="49"/>
        <v>282.54000000000002</v>
      </c>
      <c r="N205" s="5">
        <f t="shared" si="52"/>
        <v>251.17559999999997</v>
      </c>
      <c r="O205" s="5">
        <f t="shared" si="67"/>
        <v>280.00665000000009</v>
      </c>
      <c r="P205" s="5">
        <f t="shared" si="59"/>
        <v>5.9000000000000341</v>
      </c>
      <c r="Q205" s="5">
        <f t="shared" si="60"/>
        <v>5.9000000000000341</v>
      </c>
      <c r="R205" s="5" t="str">
        <f t="shared" si="61"/>
        <v xml:space="preserve"> </v>
      </c>
      <c r="S205" s="8">
        <f t="shared" si="65"/>
        <v>1235.52</v>
      </c>
      <c r="T205" s="8">
        <f t="shared" si="50"/>
        <v>1253.7149999999999</v>
      </c>
      <c r="U205" s="8">
        <f t="shared" si="53"/>
        <v>1318.6040000000003</v>
      </c>
      <c r="V205" s="8">
        <f t="shared" si="68"/>
        <v>1487.5919999999996</v>
      </c>
      <c r="W205" s="8">
        <f t="shared" si="62"/>
        <v>29.200000000000045</v>
      </c>
      <c r="X205" s="6">
        <f t="shared" si="56"/>
        <v>29.200000000000045</v>
      </c>
      <c r="Y205" s="6" t="str">
        <f t="shared" si="57"/>
        <v xml:space="preserve"> </v>
      </c>
    </row>
    <row r="206" spans="1:25" x14ac:dyDescent="0.35">
      <c r="A206" s="13">
        <v>45653</v>
      </c>
      <c r="B206" s="15">
        <v>1579</v>
      </c>
      <c r="C206" s="11">
        <v>305.25</v>
      </c>
      <c r="D206" s="18">
        <v>1198.7</v>
      </c>
      <c r="E206" s="7">
        <f t="shared" si="63"/>
        <v>1599.79</v>
      </c>
      <c r="F206" s="7">
        <f t="shared" si="48"/>
        <v>1677.1324999999997</v>
      </c>
      <c r="G206" s="7">
        <f t="shared" si="51"/>
        <v>1759.8320000000003</v>
      </c>
      <c r="H206" s="7">
        <f t="shared" si="66"/>
        <v>1932.2554999999986</v>
      </c>
      <c r="I206" s="7">
        <f t="shared" si="58"/>
        <v>6.0499999999999545</v>
      </c>
      <c r="J206" s="4">
        <f t="shared" si="54"/>
        <v>6.0499999999999545</v>
      </c>
      <c r="K206" s="4" t="str">
        <f t="shared" si="55"/>
        <v xml:space="preserve"> </v>
      </c>
      <c r="L206" s="5">
        <f t="shared" si="64"/>
        <v>303.55</v>
      </c>
      <c r="M206" s="5">
        <f t="shared" si="49"/>
        <v>285.60749999999996</v>
      </c>
      <c r="N206" s="5">
        <f t="shared" si="52"/>
        <v>252.84259999999998</v>
      </c>
      <c r="O206" s="5">
        <f t="shared" si="67"/>
        <v>279.97240000000011</v>
      </c>
      <c r="P206" s="5">
        <f t="shared" si="59"/>
        <v>0.44999999999998863</v>
      </c>
      <c r="Q206" s="5">
        <f t="shared" si="60"/>
        <v>0.44999999999998863</v>
      </c>
      <c r="R206" s="5" t="str">
        <f t="shared" si="61"/>
        <v xml:space="preserve"> </v>
      </c>
      <c r="S206" s="8">
        <f t="shared" si="65"/>
        <v>1212.08</v>
      </c>
      <c r="T206" s="8">
        <f t="shared" si="50"/>
        <v>1252.425</v>
      </c>
      <c r="U206" s="8">
        <f t="shared" si="53"/>
        <v>1313.4980000000003</v>
      </c>
      <c r="V206" s="8">
        <f t="shared" si="68"/>
        <v>1485.2619999999995</v>
      </c>
      <c r="W206" s="8">
        <f t="shared" si="62"/>
        <v>-18.299999999999955</v>
      </c>
      <c r="X206" s="6" t="str">
        <f t="shared" si="56"/>
        <v xml:space="preserve"> </v>
      </c>
      <c r="Y206" s="6">
        <f t="shared" si="57"/>
        <v>-18.299999999999955</v>
      </c>
    </row>
    <row r="207" spans="1:25" x14ac:dyDescent="0.35">
      <c r="A207" s="13">
        <v>45652</v>
      </c>
      <c r="B207" s="15">
        <v>1558.95</v>
      </c>
      <c r="C207" s="11">
        <v>305.35000000000002</v>
      </c>
      <c r="D207" s="18">
        <v>1187.1500000000001</v>
      </c>
      <c r="E207" s="7">
        <f t="shared" si="63"/>
        <v>1571.58</v>
      </c>
      <c r="F207" s="7">
        <f t="shared" si="48"/>
        <v>1667.73</v>
      </c>
      <c r="G207" s="7">
        <f t="shared" si="51"/>
        <v>1754.1610000000001</v>
      </c>
      <c r="H207" s="7">
        <f t="shared" si="66"/>
        <v>1929.635749999999</v>
      </c>
      <c r="I207" s="7">
        <f t="shared" si="58"/>
        <v>-20.049999999999955</v>
      </c>
      <c r="J207" s="4" t="str">
        <f t="shared" si="54"/>
        <v xml:space="preserve"> </v>
      </c>
      <c r="K207" s="4">
        <f t="shared" si="55"/>
        <v>-20.049999999999955</v>
      </c>
      <c r="L207" s="5">
        <f t="shared" si="64"/>
        <v>303.71000000000004</v>
      </c>
      <c r="M207" s="5">
        <f t="shared" si="49"/>
        <v>288.125</v>
      </c>
      <c r="N207" s="5">
        <f t="shared" si="52"/>
        <v>254.56179999999998</v>
      </c>
      <c r="O207" s="5">
        <f t="shared" si="67"/>
        <v>279.93515000000008</v>
      </c>
      <c r="P207" s="5">
        <f t="shared" si="59"/>
        <v>0.10000000000002274</v>
      </c>
      <c r="Q207" s="5">
        <f t="shared" si="60"/>
        <v>0.10000000000002274</v>
      </c>
      <c r="R207" s="5" t="str">
        <f t="shared" si="61"/>
        <v xml:space="preserve"> </v>
      </c>
      <c r="S207" s="8">
        <f t="shared" si="65"/>
        <v>1195.52</v>
      </c>
      <c r="T207" s="8">
        <f t="shared" si="50"/>
        <v>1249.4825000000003</v>
      </c>
      <c r="U207" s="8">
        <f t="shared" si="53"/>
        <v>1308.0620000000001</v>
      </c>
      <c r="V207" s="8">
        <f t="shared" si="68"/>
        <v>1482.6727499999997</v>
      </c>
      <c r="W207" s="8">
        <f t="shared" si="62"/>
        <v>-11.549999999999955</v>
      </c>
      <c r="X207" s="6" t="str">
        <f t="shared" si="56"/>
        <v xml:space="preserve"> </v>
      </c>
      <c r="Y207" s="6">
        <f t="shared" si="57"/>
        <v>-11.549999999999955</v>
      </c>
    </row>
    <row r="208" spans="1:25" x14ac:dyDescent="0.35">
      <c r="A208" s="13">
        <v>45650</v>
      </c>
      <c r="B208" s="15">
        <v>1563.9</v>
      </c>
      <c r="C208" s="11">
        <v>304.95</v>
      </c>
      <c r="D208" s="18">
        <v>1185</v>
      </c>
      <c r="E208" s="7">
        <f t="shared" si="63"/>
        <v>1568.9599999999998</v>
      </c>
      <c r="F208" s="7">
        <f t="shared" si="48"/>
        <v>1658.7974999999999</v>
      </c>
      <c r="G208" s="7">
        <f t="shared" si="51"/>
        <v>1749.3210000000001</v>
      </c>
      <c r="H208" s="7">
        <f t="shared" si="66"/>
        <v>1927.3557499999993</v>
      </c>
      <c r="I208" s="7">
        <f t="shared" si="58"/>
        <v>4.9500000000000455</v>
      </c>
      <c r="J208" s="4">
        <f t="shared" si="54"/>
        <v>4.9500000000000455</v>
      </c>
      <c r="K208" s="4" t="str">
        <f t="shared" si="55"/>
        <v xml:space="preserve"> </v>
      </c>
      <c r="L208" s="5">
        <f t="shared" si="64"/>
        <v>303.85000000000002</v>
      </c>
      <c r="M208" s="5">
        <f t="shared" si="49"/>
        <v>290.20749999999998</v>
      </c>
      <c r="N208" s="5">
        <f t="shared" si="52"/>
        <v>256.30879999999996</v>
      </c>
      <c r="O208" s="5">
        <f t="shared" si="67"/>
        <v>279.93240000000003</v>
      </c>
      <c r="P208" s="5">
        <f t="shared" si="59"/>
        <v>-0.40000000000003411</v>
      </c>
      <c r="Q208" s="5" t="str">
        <f t="shared" si="60"/>
        <v xml:space="preserve"> </v>
      </c>
      <c r="R208" s="5">
        <f t="shared" si="61"/>
        <v>-0.40000000000003411</v>
      </c>
      <c r="S208" s="8">
        <f t="shared" si="65"/>
        <v>1195.1299999999999</v>
      </c>
      <c r="T208" s="8">
        <f t="shared" si="50"/>
        <v>1245.1825000000003</v>
      </c>
      <c r="U208" s="8">
        <f t="shared" si="53"/>
        <v>1302.902</v>
      </c>
      <c r="V208" s="8">
        <f t="shared" si="68"/>
        <v>1480.3472499999996</v>
      </c>
      <c r="W208" s="8">
        <f t="shared" si="62"/>
        <v>-2.1500000000000909</v>
      </c>
      <c r="X208" s="6" t="str">
        <f t="shared" si="56"/>
        <v xml:space="preserve"> </v>
      </c>
      <c r="Y208" s="6">
        <f t="shared" si="57"/>
        <v>-2.1500000000000909</v>
      </c>
    </row>
    <row r="209" spans="1:25" x14ac:dyDescent="0.35">
      <c r="A209" s="13">
        <v>45649</v>
      </c>
      <c r="B209" s="15">
        <v>1562.95</v>
      </c>
      <c r="C209" s="11">
        <v>304.89999999999998</v>
      </c>
      <c r="D209" s="18">
        <v>1174.3</v>
      </c>
      <c r="E209" s="7">
        <f t="shared" si="63"/>
        <v>1567.5499999999997</v>
      </c>
      <c r="F209" s="7">
        <f t="shared" si="48"/>
        <v>1651.345</v>
      </c>
      <c r="G209" s="7">
        <f t="shared" si="51"/>
        <v>1744.7819999999999</v>
      </c>
      <c r="H209" s="7">
        <f t="shared" si="66"/>
        <v>1925.0509999999992</v>
      </c>
      <c r="I209" s="7">
        <f t="shared" si="58"/>
        <v>-0.95000000000004547</v>
      </c>
      <c r="J209" s="4" t="str">
        <f t="shared" si="54"/>
        <v xml:space="preserve"> </v>
      </c>
      <c r="K209" s="4">
        <f t="shared" si="55"/>
        <v>-0.95000000000004547</v>
      </c>
      <c r="L209" s="5">
        <f t="shared" si="64"/>
        <v>305.05</v>
      </c>
      <c r="M209" s="5">
        <f t="shared" si="49"/>
        <v>292.45499999999998</v>
      </c>
      <c r="N209" s="5">
        <f t="shared" si="52"/>
        <v>258.28179999999998</v>
      </c>
      <c r="O209" s="5">
        <f t="shared" si="67"/>
        <v>279.91365000000008</v>
      </c>
      <c r="P209" s="5">
        <f t="shared" si="59"/>
        <v>-5.0000000000011369E-2</v>
      </c>
      <c r="Q209" s="5" t="str">
        <f t="shared" si="60"/>
        <v xml:space="preserve"> </v>
      </c>
      <c r="R209" s="5">
        <f t="shared" si="61"/>
        <v>-5.0000000000011369E-2</v>
      </c>
      <c r="S209" s="8">
        <f t="shared" si="65"/>
        <v>1192.43</v>
      </c>
      <c r="T209" s="8">
        <f t="shared" si="50"/>
        <v>1241.92</v>
      </c>
      <c r="U209" s="8">
        <f t="shared" si="53"/>
        <v>1297.3880000000001</v>
      </c>
      <c r="V209" s="8">
        <f t="shared" si="68"/>
        <v>1478.0002499999994</v>
      </c>
      <c r="W209" s="8">
        <f t="shared" si="62"/>
        <v>-10.700000000000045</v>
      </c>
      <c r="X209" s="6" t="str">
        <f t="shared" si="56"/>
        <v xml:space="preserve"> </v>
      </c>
      <c r="Y209" s="6">
        <f t="shared" si="57"/>
        <v>-10.700000000000045</v>
      </c>
    </row>
    <row r="210" spans="1:25" x14ac:dyDescent="0.35">
      <c r="A210" s="13">
        <v>45646</v>
      </c>
      <c r="B210" s="15">
        <v>1570</v>
      </c>
      <c r="C210" s="11">
        <v>305.39999999999998</v>
      </c>
      <c r="D210" s="18">
        <v>1188</v>
      </c>
      <c r="E210" s="7">
        <f t="shared" si="63"/>
        <v>1566.96</v>
      </c>
      <c r="F210" s="7">
        <f t="shared" si="48"/>
        <v>1642.9950000000003</v>
      </c>
      <c r="G210" s="7">
        <f t="shared" si="51"/>
        <v>1739.3819999999998</v>
      </c>
      <c r="H210" s="7">
        <f t="shared" si="66"/>
        <v>1922.8584999999991</v>
      </c>
      <c r="I210" s="7">
        <f t="shared" si="58"/>
        <v>7.0499999999999545</v>
      </c>
      <c r="J210" s="4">
        <f t="shared" si="54"/>
        <v>7.0499999999999545</v>
      </c>
      <c r="K210" s="4" t="str">
        <f t="shared" si="55"/>
        <v xml:space="preserve"> </v>
      </c>
      <c r="L210" s="5">
        <f t="shared" si="64"/>
        <v>305.16999999999996</v>
      </c>
      <c r="M210" s="5">
        <f t="shared" si="49"/>
        <v>293.935</v>
      </c>
      <c r="N210" s="5">
        <f t="shared" si="52"/>
        <v>260.36379999999997</v>
      </c>
      <c r="O210" s="5">
        <f t="shared" si="67"/>
        <v>279.89965000000007</v>
      </c>
      <c r="P210" s="5">
        <f t="shared" si="59"/>
        <v>0.5</v>
      </c>
      <c r="Q210" s="5">
        <f t="shared" si="60"/>
        <v>0.5</v>
      </c>
      <c r="R210" s="5" t="str">
        <f t="shared" si="61"/>
        <v xml:space="preserve"> </v>
      </c>
      <c r="S210" s="8">
        <f t="shared" si="65"/>
        <v>1186.6300000000001</v>
      </c>
      <c r="T210" s="8">
        <f t="shared" si="50"/>
        <v>1239.0025000000001</v>
      </c>
      <c r="U210" s="8">
        <f t="shared" si="53"/>
        <v>1292.6530000000002</v>
      </c>
      <c r="V210" s="8">
        <f t="shared" si="68"/>
        <v>1475.8622499999992</v>
      </c>
      <c r="W210" s="8">
        <f t="shared" si="62"/>
        <v>13.700000000000045</v>
      </c>
      <c r="X210" s="6">
        <f t="shared" si="56"/>
        <v>13.700000000000045</v>
      </c>
      <c r="Y210" s="6" t="str">
        <f t="shared" si="57"/>
        <v xml:space="preserve"> </v>
      </c>
    </row>
    <row r="211" spans="1:25" x14ac:dyDescent="0.35">
      <c r="A211" s="13">
        <v>45645</v>
      </c>
      <c r="B211" s="15">
        <v>1592.8</v>
      </c>
      <c r="C211" s="11">
        <v>313.75</v>
      </c>
      <c r="D211" s="18">
        <v>1214.8</v>
      </c>
      <c r="E211" s="7">
        <f t="shared" si="63"/>
        <v>1569.72</v>
      </c>
      <c r="F211" s="7">
        <f t="shared" si="48"/>
        <v>1638.5</v>
      </c>
      <c r="G211" s="7">
        <f t="shared" si="51"/>
        <v>1733.8339999999998</v>
      </c>
      <c r="H211" s="7">
        <f t="shared" si="66"/>
        <v>1920.7624999999991</v>
      </c>
      <c r="I211" s="7">
        <f t="shared" si="58"/>
        <v>22.799999999999955</v>
      </c>
      <c r="J211" s="4">
        <f t="shared" si="54"/>
        <v>22.799999999999955</v>
      </c>
      <c r="K211" s="4" t="str">
        <f t="shared" si="55"/>
        <v xml:space="preserve"> </v>
      </c>
      <c r="L211" s="5">
        <f t="shared" si="64"/>
        <v>306.87</v>
      </c>
      <c r="M211" s="5">
        <f t="shared" si="49"/>
        <v>295.685</v>
      </c>
      <c r="N211" s="5">
        <f t="shared" si="52"/>
        <v>262.47299999999996</v>
      </c>
      <c r="O211" s="5">
        <f t="shared" si="67"/>
        <v>279.93265000000008</v>
      </c>
      <c r="P211" s="5">
        <f t="shared" si="59"/>
        <v>8.3500000000000227</v>
      </c>
      <c r="Q211" s="5">
        <f t="shared" si="60"/>
        <v>8.3500000000000227</v>
      </c>
      <c r="R211" s="5" t="str">
        <f t="shared" si="61"/>
        <v xml:space="preserve"> </v>
      </c>
      <c r="S211" s="8">
        <f t="shared" si="65"/>
        <v>1189.8499999999999</v>
      </c>
      <c r="T211" s="8">
        <f t="shared" si="50"/>
        <v>1236.8500000000001</v>
      </c>
      <c r="U211" s="8">
        <f t="shared" si="53"/>
        <v>1289.0230000000001</v>
      </c>
      <c r="V211" s="8">
        <f t="shared" si="68"/>
        <v>1473.8352499999994</v>
      </c>
      <c r="W211" s="8">
        <f t="shared" si="62"/>
        <v>26.799999999999955</v>
      </c>
      <c r="X211" s="6">
        <f t="shared" si="56"/>
        <v>26.799999999999955</v>
      </c>
      <c r="Y211" s="6" t="str">
        <f t="shared" si="57"/>
        <v xml:space="preserve"> </v>
      </c>
    </row>
    <row r="212" spans="1:25" x14ac:dyDescent="0.35">
      <c r="A212" s="13">
        <v>45644</v>
      </c>
      <c r="B212" s="15">
        <v>1627.9</v>
      </c>
      <c r="C212" s="11">
        <v>325</v>
      </c>
      <c r="D212" s="18">
        <v>1242</v>
      </c>
      <c r="E212" s="7">
        <f t="shared" si="63"/>
        <v>1583.5100000000002</v>
      </c>
      <c r="F212" s="7">
        <f t="shared" si="48"/>
        <v>1635.1000000000001</v>
      </c>
      <c r="G212" s="7">
        <f t="shared" si="51"/>
        <v>1727.9899999999998</v>
      </c>
      <c r="H212" s="7">
        <f t="shared" si="66"/>
        <v>1918.8509999999992</v>
      </c>
      <c r="I212" s="7">
        <f t="shared" si="58"/>
        <v>35.100000000000136</v>
      </c>
      <c r="J212" s="4">
        <f t="shared" si="54"/>
        <v>35.100000000000136</v>
      </c>
      <c r="K212" s="4" t="str">
        <f t="shared" si="55"/>
        <v xml:space="preserve"> </v>
      </c>
      <c r="L212" s="5">
        <f t="shared" si="64"/>
        <v>310.8</v>
      </c>
      <c r="M212" s="5">
        <f t="shared" si="49"/>
        <v>298.11249999999995</v>
      </c>
      <c r="N212" s="5">
        <f t="shared" si="52"/>
        <v>264.5376</v>
      </c>
      <c r="O212" s="5">
        <f t="shared" si="67"/>
        <v>280.03415000000007</v>
      </c>
      <c r="P212" s="5">
        <f t="shared" si="59"/>
        <v>11.25</v>
      </c>
      <c r="Q212" s="5">
        <f t="shared" si="60"/>
        <v>11.25</v>
      </c>
      <c r="R212" s="5" t="str">
        <f t="shared" si="61"/>
        <v xml:space="preserve"> </v>
      </c>
      <c r="S212" s="8">
        <f t="shared" si="65"/>
        <v>1200.8200000000002</v>
      </c>
      <c r="T212" s="8">
        <f t="shared" si="50"/>
        <v>1234.8499999999999</v>
      </c>
      <c r="U212" s="8">
        <f t="shared" si="53"/>
        <v>1285.1620000000003</v>
      </c>
      <c r="V212" s="8">
        <f t="shared" si="68"/>
        <v>1471.9937499999996</v>
      </c>
      <c r="W212" s="8">
        <f t="shared" si="62"/>
        <v>27.200000000000045</v>
      </c>
      <c r="X212" s="6">
        <f t="shared" si="56"/>
        <v>27.200000000000045</v>
      </c>
      <c r="Y212" s="6" t="str">
        <f t="shared" si="57"/>
        <v xml:space="preserve"> </v>
      </c>
    </row>
    <row r="213" spans="1:25" x14ac:dyDescent="0.35">
      <c r="A213" s="13">
        <v>45643</v>
      </c>
      <c r="B213" s="15">
        <v>1643.85</v>
      </c>
      <c r="C213" s="11">
        <v>336.75</v>
      </c>
      <c r="D213" s="18">
        <v>1245.1500000000001</v>
      </c>
      <c r="E213" s="7">
        <f t="shared" si="63"/>
        <v>1599.5</v>
      </c>
      <c r="F213" s="7">
        <f t="shared" si="48"/>
        <v>1633.5525000000002</v>
      </c>
      <c r="G213" s="7">
        <f t="shared" si="51"/>
        <v>1723.4269999999999</v>
      </c>
      <c r="H213" s="7">
        <f t="shared" si="66"/>
        <v>1916.920249999999</v>
      </c>
      <c r="I213" s="7">
        <f t="shared" si="58"/>
        <v>15.949999999999818</v>
      </c>
      <c r="J213" s="4">
        <f t="shared" si="54"/>
        <v>15.949999999999818</v>
      </c>
      <c r="K213" s="4" t="str">
        <f t="shared" si="55"/>
        <v xml:space="preserve"> </v>
      </c>
      <c r="L213" s="5">
        <f t="shared" si="64"/>
        <v>317.15999999999997</v>
      </c>
      <c r="M213" s="5">
        <f t="shared" si="49"/>
        <v>301.25</v>
      </c>
      <c r="N213" s="5">
        <f t="shared" si="52"/>
        <v>266.75959999999998</v>
      </c>
      <c r="O213" s="5">
        <f t="shared" si="67"/>
        <v>280.1649000000001</v>
      </c>
      <c r="P213" s="5">
        <f t="shared" si="59"/>
        <v>11.75</v>
      </c>
      <c r="Q213" s="5">
        <f t="shared" si="60"/>
        <v>11.75</v>
      </c>
      <c r="R213" s="5" t="str">
        <f t="shared" si="61"/>
        <v xml:space="preserve"> </v>
      </c>
      <c r="S213" s="8">
        <f t="shared" si="65"/>
        <v>1212.8499999999999</v>
      </c>
      <c r="T213" s="8">
        <f t="shared" si="50"/>
        <v>1234.3175000000001</v>
      </c>
      <c r="U213" s="8">
        <f t="shared" si="53"/>
        <v>1282.6940000000002</v>
      </c>
      <c r="V213" s="8">
        <f t="shared" si="68"/>
        <v>1470.0859999999996</v>
      </c>
      <c r="W213" s="8">
        <f t="shared" si="62"/>
        <v>3.1500000000000909</v>
      </c>
      <c r="X213" s="6">
        <f t="shared" si="56"/>
        <v>3.1500000000000909</v>
      </c>
      <c r="Y213" s="6" t="str">
        <f t="shared" si="57"/>
        <v xml:space="preserve"> </v>
      </c>
    </row>
    <row r="214" spans="1:25" x14ac:dyDescent="0.35">
      <c r="A214" s="13">
        <v>45642</v>
      </c>
      <c r="B214" s="15">
        <v>1673.4</v>
      </c>
      <c r="C214" s="11">
        <v>339.85</v>
      </c>
      <c r="D214" s="18">
        <v>1285.05</v>
      </c>
      <c r="E214" s="7">
        <f t="shared" si="63"/>
        <v>1621.5900000000001</v>
      </c>
      <c r="F214" s="7">
        <f t="shared" ref="F214:F250" si="69">AVERAGE(B195:B214)</f>
        <v>1630.8725000000002</v>
      </c>
      <c r="G214" s="7">
        <f t="shared" si="51"/>
        <v>1719.6459999999997</v>
      </c>
      <c r="H214" s="7">
        <f t="shared" si="66"/>
        <v>1915.1317499999993</v>
      </c>
      <c r="I214" s="7">
        <f t="shared" si="58"/>
        <v>29.550000000000182</v>
      </c>
      <c r="J214" s="4">
        <f t="shared" si="54"/>
        <v>29.550000000000182</v>
      </c>
      <c r="K214" s="4" t="str">
        <f t="shared" si="55"/>
        <v xml:space="preserve"> </v>
      </c>
      <c r="L214" s="5">
        <f t="shared" si="64"/>
        <v>324.14999999999998</v>
      </c>
      <c r="M214" s="5">
        <f t="shared" ref="M214:M250" si="70">AVERAGE(C195:C214)</f>
        <v>304.55500000000001</v>
      </c>
      <c r="N214" s="5">
        <f t="shared" si="52"/>
        <v>268.98559999999998</v>
      </c>
      <c r="O214" s="5">
        <f t="shared" si="67"/>
        <v>280.33365000000009</v>
      </c>
      <c r="P214" s="5">
        <f t="shared" si="59"/>
        <v>3.1000000000000227</v>
      </c>
      <c r="Q214" s="5">
        <f t="shared" si="60"/>
        <v>3.1000000000000227</v>
      </c>
      <c r="R214" s="5" t="str">
        <f t="shared" si="61"/>
        <v xml:space="preserve"> </v>
      </c>
      <c r="S214" s="8">
        <f t="shared" si="65"/>
        <v>1235.0000000000002</v>
      </c>
      <c r="T214" s="8">
        <f t="shared" ref="T214:T250" si="71">AVERAGE(D195:D214)</f>
        <v>1234.7175000000002</v>
      </c>
      <c r="U214" s="8">
        <f t="shared" si="53"/>
        <v>1280.8010000000002</v>
      </c>
      <c r="V214" s="8">
        <f t="shared" si="68"/>
        <v>1468.2772499999994</v>
      </c>
      <c r="W214" s="8">
        <f t="shared" si="62"/>
        <v>39.899999999999864</v>
      </c>
      <c r="X214" s="6">
        <f t="shared" si="56"/>
        <v>39.899999999999864</v>
      </c>
      <c r="Y214" s="6" t="str">
        <f t="shared" si="57"/>
        <v xml:space="preserve"> </v>
      </c>
    </row>
    <row r="215" spans="1:25" x14ac:dyDescent="0.35">
      <c r="A215" s="13">
        <v>45639</v>
      </c>
      <c r="B215" s="15">
        <v>1678.05</v>
      </c>
      <c r="C215" s="11">
        <v>338.7</v>
      </c>
      <c r="D215" s="18">
        <v>1307</v>
      </c>
      <c r="E215" s="7">
        <f t="shared" si="63"/>
        <v>1643.1999999999996</v>
      </c>
      <c r="F215" s="7">
        <f t="shared" si="69"/>
        <v>1631.0325000000003</v>
      </c>
      <c r="G215" s="7">
        <f t="shared" si="51"/>
        <v>1715.7569999999998</v>
      </c>
      <c r="H215" s="7">
        <f t="shared" si="66"/>
        <v>1913.5509999999992</v>
      </c>
      <c r="I215" s="7">
        <f t="shared" si="58"/>
        <v>4.6499999999998636</v>
      </c>
      <c r="J215" s="4">
        <f t="shared" si="54"/>
        <v>4.6499999999998636</v>
      </c>
      <c r="K215" s="4" t="str">
        <f t="shared" si="55"/>
        <v xml:space="preserve"> </v>
      </c>
      <c r="L215" s="5">
        <f t="shared" si="64"/>
        <v>330.81</v>
      </c>
      <c r="M215" s="5">
        <f t="shared" si="70"/>
        <v>308.2</v>
      </c>
      <c r="N215" s="5">
        <f t="shared" si="52"/>
        <v>271.09559999999999</v>
      </c>
      <c r="O215" s="5">
        <f t="shared" si="67"/>
        <v>280.51415000000003</v>
      </c>
      <c r="P215" s="5">
        <f t="shared" si="59"/>
        <v>-1.1500000000000341</v>
      </c>
      <c r="Q215" s="5" t="str">
        <f t="shared" si="60"/>
        <v xml:space="preserve"> </v>
      </c>
      <c r="R215" s="5">
        <f t="shared" si="61"/>
        <v>-1.1500000000000341</v>
      </c>
      <c r="S215" s="8">
        <f t="shared" si="65"/>
        <v>1258.8</v>
      </c>
      <c r="T215" s="8">
        <f t="shared" si="71"/>
        <v>1238.9100000000001</v>
      </c>
      <c r="U215" s="8">
        <f t="shared" si="53"/>
        <v>1279.2410000000002</v>
      </c>
      <c r="V215" s="8">
        <f t="shared" si="68"/>
        <v>1466.9522499999998</v>
      </c>
      <c r="W215" s="8">
        <f t="shared" si="62"/>
        <v>21.950000000000045</v>
      </c>
      <c r="X215" s="6">
        <f t="shared" si="56"/>
        <v>21.950000000000045</v>
      </c>
      <c r="Y215" s="6" t="str">
        <f t="shared" si="57"/>
        <v xml:space="preserve"> </v>
      </c>
    </row>
    <row r="216" spans="1:25" x14ac:dyDescent="0.35">
      <c r="A216" s="13">
        <v>45638</v>
      </c>
      <c r="B216" s="15">
        <v>1675.85</v>
      </c>
      <c r="C216" s="11">
        <v>338.35</v>
      </c>
      <c r="D216" s="18">
        <v>1344</v>
      </c>
      <c r="E216" s="7">
        <f t="shared" si="63"/>
        <v>1659.81</v>
      </c>
      <c r="F216" s="7">
        <f t="shared" si="69"/>
        <v>1629.8825000000002</v>
      </c>
      <c r="G216" s="7">
        <f t="shared" si="51"/>
        <v>1711.6449999999998</v>
      </c>
      <c r="H216" s="7">
        <f t="shared" si="66"/>
        <v>1911.880249999999</v>
      </c>
      <c r="I216" s="7">
        <f t="shared" si="58"/>
        <v>-2.2000000000000455</v>
      </c>
      <c r="J216" s="4" t="str">
        <f t="shared" si="54"/>
        <v xml:space="preserve"> </v>
      </c>
      <c r="K216" s="4">
        <f t="shared" si="55"/>
        <v>-2.2000000000000455</v>
      </c>
      <c r="L216" s="5">
        <f t="shared" si="64"/>
        <v>335.73</v>
      </c>
      <c r="M216" s="5">
        <f t="shared" si="70"/>
        <v>311.07250000000005</v>
      </c>
      <c r="N216" s="5">
        <f t="shared" si="52"/>
        <v>273.15460000000002</v>
      </c>
      <c r="O216" s="5">
        <f t="shared" si="67"/>
        <v>280.70190000000002</v>
      </c>
      <c r="P216" s="5">
        <f t="shared" si="59"/>
        <v>-0.34999999999996589</v>
      </c>
      <c r="Q216" s="5" t="str">
        <f t="shared" si="60"/>
        <v xml:space="preserve"> </v>
      </c>
      <c r="R216" s="5">
        <f t="shared" si="61"/>
        <v>-0.34999999999996589</v>
      </c>
      <c r="S216" s="8">
        <f t="shared" si="65"/>
        <v>1284.6399999999999</v>
      </c>
      <c r="T216" s="8">
        <f t="shared" si="71"/>
        <v>1243.56</v>
      </c>
      <c r="U216" s="8">
        <f t="shared" si="53"/>
        <v>1278.162</v>
      </c>
      <c r="V216" s="8">
        <f t="shared" si="68"/>
        <v>1465.65725</v>
      </c>
      <c r="W216" s="8">
        <f t="shared" si="62"/>
        <v>37</v>
      </c>
      <c r="X216" s="6">
        <f t="shared" si="56"/>
        <v>37</v>
      </c>
      <c r="Y216" s="6" t="str">
        <f t="shared" si="57"/>
        <v xml:space="preserve"> </v>
      </c>
    </row>
    <row r="217" spans="1:25" x14ac:dyDescent="0.35">
      <c r="A217" s="13">
        <v>45637</v>
      </c>
      <c r="B217" s="15">
        <v>1683.9</v>
      </c>
      <c r="C217" s="11">
        <v>343.5</v>
      </c>
      <c r="D217" s="18">
        <v>1347</v>
      </c>
      <c r="E217" s="7">
        <f t="shared" si="63"/>
        <v>1671.0099999999998</v>
      </c>
      <c r="F217" s="7">
        <f t="shared" si="69"/>
        <v>1629.6275000000001</v>
      </c>
      <c r="G217" s="7">
        <f t="shared" si="51"/>
        <v>1707.8549999999998</v>
      </c>
      <c r="H217" s="7">
        <f t="shared" si="66"/>
        <v>1910.2947499999991</v>
      </c>
      <c r="I217" s="7">
        <f t="shared" si="58"/>
        <v>8.0500000000001819</v>
      </c>
      <c r="J217" s="4">
        <f t="shared" si="54"/>
        <v>8.0500000000001819</v>
      </c>
      <c r="K217" s="4" t="str">
        <f t="shared" si="55"/>
        <v xml:space="preserve"> </v>
      </c>
      <c r="L217" s="5">
        <f t="shared" si="64"/>
        <v>339.43</v>
      </c>
      <c r="M217" s="5">
        <f t="shared" si="70"/>
        <v>313.755</v>
      </c>
      <c r="N217" s="5">
        <f t="shared" si="52"/>
        <v>275.45279999999997</v>
      </c>
      <c r="O217" s="5">
        <f t="shared" si="67"/>
        <v>280.94940000000003</v>
      </c>
      <c r="P217" s="5">
        <f t="shared" si="59"/>
        <v>5.1499999999999773</v>
      </c>
      <c r="Q217" s="5">
        <f t="shared" si="60"/>
        <v>5.1499999999999773</v>
      </c>
      <c r="R217" s="5" t="str">
        <f t="shared" si="61"/>
        <v xml:space="preserve"> </v>
      </c>
      <c r="S217" s="8">
        <f t="shared" si="65"/>
        <v>1305.6399999999999</v>
      </c>
      <c r="T217" s="8">
        <f t="shared" si="71"/>
        <v>1246.6100000000001</v>
      </c>
      <c r="U217" s="8">
        <f t="shared" si="53"/>
        <v>1277.6179999999999</v>
      </c>
      <c r="V217" s="8">
        <f t="shared" si="68"/>
        <v>1464.3382499999998</v>
      </c>
      <c r="W217" s="8">
        <f t="shared" si="62"/>
        <v>3</v>
      </c>
      <c r="X217" s="6">
        <f t="shared" si="56"/>
        <v>3</v>
      </c>
      <c r="Y217" s="6" t="str">
        <f t="shared" si="57"/>
        <v xml:space="preserve"> </v>
      </c>
    </row>
    <row r="218" spans="1:25" x14ac:dyDescent="0.35">
      <c r="A218" s="13">
        <v>45636</v>
      </c>
      <c r="B218" s="15">
        <v>1664</v>
      </c>
      <c r="C218" s="11">
        <v>334.85</v>
      </c>
      <c r="D218" s="18">
        <v>1339.85</v>
      </c>
      <c r="E218" s="7">
        <f t="shared" si="63"/>
        <v>1675.0399999999997</v>
      </c>
      <c r="F218" s="7">
        <f t="shared" si="69"/>
        <v>1628.0774999999999</v>
      </c>
      <c r="G218" s="7">
        <f t="shared" si="51"/>
        <v>1703.3509999999997</v>
      </c>
      <c r="H218" s="7">
        <f t="shared" si="66"/>
        <v>1908.5547499999991</v>
      </c>
      <c r="I218" s="7">
        <f t="shared" si="58"/>
        <v>-19.900000000000091</v>
      </c>
      <c r="J218" s="4" t="str">
        <f t="shared" si="54"/>
        <v xml:space="preserve"> </v>
      </c>
      <c r="K218" s="4">
        <f t="shared" si="55"/>
        <v>-19.900000000000091</v>
      </c>
      <c r="L218" s="5">
        <f t="shared" si="64"/>
        <v>339.05</v>
      </c>
      <c r="M218" s="5">
        <f t="shared" si="70"/>
        <v>315.58000000000004</v>
      </c>
      <c r="N218" s="5">
        <f t="shared" si="52"/>
        <v>277.74180000000001</v>
      </c>
      <c r="O218" s="5">
        <f t="shared" si="67"/>
        <v>281.14765000000006</v>
      </c>
      <c r="P218" s="5">
        <f t="shared" si="59"/>
        <v>-8.6499999999999773</v>
      </c>
      <c r="Q218" s="5" t="str">
        <f t="shared" si="60"/>
        <v xml:space="preserve"> </v>
      </c>
      <c r="R218" s="5">
        <f t="shared" si="61"/>
        <v>-8.6499999999999773</v>
      </c>
      <c r="S218" s="8">
        <f t="shared" si="65"/>
        <v>1324.58</v>
      </c>
      <c r="T218" s="8">
        <f t="shared" si="71"/>
        <v>1250.0350000000001</v>
      </c>
      <c r="U218" s="8">
        <f t="shared" si="53"/>
        <v>1277.415</v>
      </c>
      <c r="V218" s="8">
        <f t="shared" si="68"/>
        <v>1463.0639999999999</v>
      </c>
      <c r="W218" s="8">
        <f t="shared" si="62"/>
        <v>-7.1500000000000909</v>
      </c>
      <c r="X218" s="6" t="str">
        <f t="shared" si="56"/>
        <v xml:space="preserve"> </v>
      </c>
      <c r="Y218" s="6">
        <f t="shared" si="57"/>
        <v>-7.1500000000000909</v>
      </c>
    </row>
    <row r="219" spans="1:25" x14ac:dyDescent="0.35">
      <c r="A219" s="13">
        <v>45635</v>
      </c>
      <c r="B219" s="15">
        <v>1637.1</v>
      </c>
      <c r="C219" s="11">
        <v>336.3</v>
      </c>
      <c r="D219" s="18">
        <v>1280.05</v>
      </c>
      <c r="E219" s="7">
        <f t="shared" si="63"/>
        <v>1667.78</v>
      </c>
      <c r="F219" s="7">
        <f t="shared" si="69"/>
        <v>1625.9299999999998</v>
      </c>
      <c r="G219" s="7">
        <f t="shared" si="51"/>
        <v>1698.2919999999999</v>
      </c>
      <c r="H219" s="7">
        <f t="shared" si="66"/>
        <v>1906.7252499999993</v>
      </c>
      <c r="I219" s="7">
        <f t="shared" si="58"/>
        <v>-26.900000000000091</v>
      </c>
      <c r="J219" s="4" t="str">
        <f t="shared" si="54"/>
        <v xml:space="preserve"> </v>
      </c>
      <c r="K219" s="4">
        <f t="shared" si="55"/>
        <v>-26.900000000000091</v>
      </c>
      <c r="L219" s="5">
        <f t="shared" si="64"/>
        <v>338.34000000000003</v>
      </c>
      <c r="M219" s="5">
        <f t="shared" si="70"/>
        <v>317.44500000000005</v>
      </c>
      <c r="N219" s="5">
        <f t="shared" si="52"/>
        <v>279.99100000000004</v>
      </c>
      <c r="O219" s="5">
        <f t="shared" si="67"/>
        <v>281.34740000000005</v>
      </c>
      <c r="P219" s="5">
        <f t="shared" si="59"/>
        <v>1.4499999999999886</v>
      </c>
      <c r="Q219" s="5">
        <f t="shared" si="60"/>
        <v>1.4499999999999886</v>
      </c>
      <c r="R219" s="5" t="str">
        <f t="shared" si="61"/>
        <v xml:space="preserve"> </v>
      </c>
      <c r="S219" s="8">
        <f t="shared" si="65"/>
        <v>1323.5800000000002</v>
      </c>
      <c r="T219" s="8">
        <f t="shared" si="71"/>
        <v>1250.4324999999999</v>
      </c>
      <c r="U219" s="8">
        <f t="shared" si="53"/>
        <v>1275.8039999999999</v>
      </c>
      <c r="V219" s="8">
        <f t="shared" si="68"/>
        <v>1461.6027499999996</v>
      </c>
      <c r="W219" s="8">
        <f t="shared" si="62"/>
        <v>-59.799999999999955</v>
      </c>
      <c r="X219" s="6" t="str">
        <f t="shared" si="56"/>
        <v xml:space="preserve"> </v>
      </c>
      <c r="Y219" s="6">
        <f t="shared" si="57"/>
        <v>-59.799999999999955</v>
      </c>
    </row>
    <row r="220" spans="1:25" x14ac:dyDescent="0.35">
      <c r="A220" s="13">
        <v>45632</v>
      </c>
      <c r="B220" s="15">
        <v>1630.95</v>
      </c>
      <c r="C220" s="11">
        <v>338.9</v>
      </c>
      <c r="D220" s="18">
        <v>1278.3499999999999</v>
      </c>
      <c r="E220" s="7">
        <f t="shared" si="63"/>
        <v>1658.3600000000001</v>
      </c>
      <c r="F220" s="7">
        <f t="shared" si="69"/>
        <v>1623.0275000000001</v>
      </c>
      <c r="G220" s="7">
        <f t="shared" si="51"/>
        <v>1694.1309999999999</v>
      </c>
      <c r="H220" s="7">
        <f t="shared" si="66"/>
        <v>1904.7149999999995</v>
      </c>
      <c r="I220" s="7">
        <f t="shared" si="58"/>
        <v>-6.1499999999998636</v>
      </c>
      <c r="J220" s="4" t="str">
        <f t="shared" si="54"/>
        <v xml:space="preserve"> </v>
      </c>
      <c r="K220" s="4">
        <f t="shared" si="55"/>
        <v>-6.1499999999998636</v>
      </c>
      <c r="L220" s="5">
        <f t="shared" si="64"/>
        <v>338.38</v>
      </c>
      <c r="M220" s="5">
        <f t="shared" si="70"/>
        <v>319.57250000000005</v>
      </c>
      <c r="N220" s="5">
        <f t="shared" si="52"/>
        <v>282.32400000000001</v>
      </c>
      <c r="O220" s="5">
        <f t="shared" si="67"/>
        <v>281.53390000000007</v>
      </c>
      <c r="P220" s="5">
        <f t="shared" si="59"/>
        <v>2.5999999999999659</v>
      </c>
      <c r="Q220" s="5">
        <f t="shared" si="60"/>
        <v>2.5999999999999659</v>
      </c>
      <c r="R220" s="5" t="str">
        <f t="shared" si="61"/>
        <v xml:space="preserve"> </v>
      </c>
      <c r="S220" s="8">
        <f t="shared" si="65"/>
        <v>1317.85</v>
      </c>
      <c r="T220" s="8">
        <f t="shared" si="71"/>
        <v>1249.6999999999998</v>
      </c>
      <c r="U220" s="8">
        <f t="shared" si="53"/>
        <v>1274.048</v>
      </c>
      <c r="V220" s="8">
        <f t="shared" si="68"/>
        <v>1460.0394999999996</v>
      </c>
      <c r="W220" s="8">
        <f t="shared" si="62"/>
        <v>-1.7000000000000455</v>
      </c>
      <c r="X220" s="6" t="str">
        <f t="shared" si="56"/>
        <v xml:space="preserve"> </v>
      </c>
      <c r="Y220" s="6">
        <f t="shared" si="57"/>
        <v>-1.7000000000000455</v>
      </c>
    </row>
    <row r="221" spans="1:25" x14ac:dyDescent="0.35">
      <c r="A221" s="13">
        <v>45631</v>
      </c>
      <c r="B221" s="15">
        <v>1647</v>
      </c>
      <c r="C221" s="11">
        <v>341.3</v>
      </c>
      <c r="D221" s="18">
        <v>1291.95</v>
      </c>
      <c r="E221" s="7">
        <f t="shared" si="63"/>
        <v>1652.5900000000001</v>
      </c>
      <c r="F221" s="7">
        <f t="shared" si="69"/>
        <v>1620.4775</v>
      </c>
      <c r="G221" s="7">
        <f t="shared" si="51"/>
        <v>1690.2239999999999</v>
      </c>
      <c r="H221" s="7">
        <f t="shared" si="66"/>
        <v>1902.5994999999996</v>
      </c>
      <c r="I221" s="7">
        <f t="shared" si="58"/>
        <v>16.049999999999955</v>
      </c>
      <c r="J221" s="4">
        <f t="shared" si="54"/>
        <v>16.049999999999955</v>
      </c>
      <c r="K221" s="4" t="str">
        <f t="shared" si="55"/>
        <v xml:space="preserve"> </v>
      </c>
      <c r="L221" s="5">
        <f t="shared" si="64"/>
        <v>338.97</v>
      </c>
      <c r="M221" s="5">
        <f t="shared" si="70"/>
        <v>321.28000000000003</v>
      </c>
      <c r="N221" s="5">
        <f t="shared" si="52"/>
        <v>284.59199999999998</v>
      </c>
      <c r="O221" s="5">
        <f t="shared" si="67"/>
        <v>281.70915000000008</v>
      </c>
      <c r="P221" s="5">
        <f t="shared" si="59"/>
        <v>2.4000000000000341</v>
      </c>
      <c r="Q221" s="5">
        <f t="shared" si="60"/>
        <v>2.4000000000000341</v>
      </c>
      <c r="R221" s="5" t="str">
        <f t="shared" si="61"/>
        <v xml:space="preserve"> </v>
      </c>
      <c r="S221" s="8">
        <f t="shared" si="65"/>
        <v>1307.44</v>
      </c>
      <c r="T221" s="8">
        <f t="shared" si="71"/>
        <v>1248.5024999999998</v>
      </c>
      <c r="U221" s="8">
        <f t="shared" si="53"/>
        <v>1272.0889999999997</v>
      </c>
      <c r="V221" s="8">
        <f t="shared" si="68"/>
        <v>1458.3617499999996</v>
      </c>
      <c r="W221" s="8">
        <f t="shared" si="62"/>
        <v>13.600000000000136</v>
      </c>
      <c r="X221" s="6">
        <f t="shared" si="56"/>
        <v>13.600000000000136</v>
      </c>
      <c r="Y221" s="6" t="str">
        <f t="shared" si="57"/>
        <v xml:space="preserve"> </v>
      </c>
    </row>
    <row r="222" spans="1:25" x14ac:dyDescent="0.35">
      <c r="A222" s="13">
        <v>45630</v>
      </c>
      <c r="B222" s="15">
        <v>1629.95</v>
      </c>
      <c r="C222" s="11">
        <v>345</v>
      </c>
      <c r="D222" s="18">
        <v>1298.3</v>
      </c>
      <c r="E222" s="7">
        <f t="shared" si="63"/>
        <v>1641.8</v>
      </c>
      <c r="F222" s="7">
        <f t="shared" si="69"/>
        <v>1616.9749999999999</v>
      </c>
      <c r="G222" s="7">
        <f t="shared" si="51"/>
        <v>1686.9779999999998</v>
      </c>
      <c r="H222" s="7">
        <f t="shared" si="66"/>
        <v>1900.3292499999995</v>
      </c>
      <c r="I222" s="7">
        <f t="shared" si="58"/>
        <v>-17.049999999999955</v>
      </c>
      <c r="J222" s="4" t="str">
        <f t="shared" si="54"/>
        <v xml:space="preserve"> </v>
      </c>
      <c r="K222" s="4">
        <f t="shared" si="55"/>
        <v>-17.049999999999955</v>
      </c>
      <c r="L222" s="5">
        <f t="shared" si="64"/>
        <v>339.27000000000004</v>
      </c>
      <c r="M222" s="5">
        <f t="shared" si="70"/>
        <v>323.30250000000001</v>
      </c>
      <c r="N222" s="5">
        <f t="shared" si="52"/>
        <v>286.92900000000003</v>
      </c>
      <c r="O222" s="5">
        <f t="shared" si="67"/>
        <v>281.86890000000005</v>
      </c>
      <c r="P222" s="5">
        <f t="shared" si="59"/>
        <v>3.6999999999999886</v>
      </c>
      <c r="Q222" s="5">
        <f t="shared" si="60"/>
        <v>3.6999999999999886</v>
      </c>
      <c r="R222" s="5" t="str">
        <f t="shared" si="61"/>
        <v xml:space="preserve"> </v>
      </c>
      <c r="S222" s="8">
        <f t="shared" si="65"/>
        <v>1297.7</v>
      </c>
      <c r="T222" s="8">
        <f t="shared" si="71"/>
        <v>1249.9199999999996</v>
      </c>
      <c r="U222" s="8">
        <f t="shared" si="53"/>
        <v>1271.0350000000001</v>
      </c>
      <c r="V222" s="8">
        <f t="shared" si="68"/>
        <v>1456.7347499999998</v>
      </c>
      <c r="W222" s="8">
        <f t="shared" si="62"/>
        <v>6.3499999999999091</v>
      </c>
      <c r="X222" s="6">
        <f t="shared" si="56"/>
        <v>6.3499999999999091</v>
      </c>
      <c r="Y222" s="6" t="str">
        <f t="shared" si="57"/>
        <v xml:space="preserve"> </v>
      </c>
    </row>
    <row r="223" spans="1:25" x14ac:dyDescent="0.35">
      <c r="A223" s="13">
        <v>45629</v>
      </c>
      <c r="B223" s="15">
        <v>1609.7</v>
      </c>
      <c r="C223" s="11">
        <v>342.1</v>
      </c>
      <c r="D223" s="18">
        <v>1256</v>
      </c>
      <c r="E223" s="7">
        <f t="shared" si="63"/>
        <v>1630.94</v>
      </c>
      <c r="F223" s="7">
        <f t="shared" si="69"/>
        <v>1618.6100000000001</v>
      </c>
      <c r="G223" s="7">
        <f t="shared" si="51"/>
        <v>1684.2909999999997</v>
      </c>
      <c r="H223" s="7">
        <f t="shared" si="66"/>
        <v>1898.0347499999996</v>
      </c>
      <c r="I223" s="7">
        <f t="shared" si="58"/>
        <v>-20.25</v>
      </c>
      <c r="J223" s="4" t="str">
        <f t="shared" si="54"/>
        <v xml:space="preserve"> </v>
      </c>
      <c r="K223" s="4">
        <f t="shared" si="55"/>
        <v>-20.25</v>
      </c>
      <c r="L223" s="5">
        <f t="shared" si="64"/>
        <v>340.71999999999997</v>
      </c>
      <c r="M223" s="5">
        <f t="shared" si="70"/>
        <v>325.19500000000005</v>
      </c>
      <c r="N223" s="5">
        <f t="shared" si="52"/>
        <v>289.041</v>
      </c>
      <c r="O223" s="5">
        <f t="shared" si="67"/>
        <v>282.01090000000005</v>
      </c>
      <c r="P223" s="5">
        <f t="shared" si="59"/>
        <v>-2.8999999999999773</v>
      </c>
      <c r="Q223" s="5" t="str">
        <f t="shared" si="60"/>
        <v xml:space="preserve"> </v>
      </c>
      <c r="R223" s="5">
        <f t="shared" si="61"/>
        <v>-2.8999999999999773</v>
      </c>
      <c r="S223" s="8">
        <f t="shared" si="65"/>
        <v>1280.9299999999998</v>
      </c>
      <c r="T223" s="8">
        <f t="shared" si="71"/>
        <v>1253.3724999999997</v>
      </c>
      <c r="U223" s="8">
        <f t="shared" si="53"/>
        <v>1269.8870000000002</v>
      </c>
      <c r="V223" s="8">
        <f t="shared" si="68"/>
        <v>1454.8747499999997</v>
      </c>
      <c r="W223" s="8">
        <f t="shared" si="62"/>
        <v>-42.299999999999955</v>
      </c>
      <c r="X223" s="6" t="str">
        <f t="shared" si="56"/>
        <v xml:space="preserve"> </v>
      </c>
      <c r="Y223" s="6">
        <f t="shared" si="57"/>
        <v>-42.299999999999955</v>
      </c>
    </row>
    <row r="224" spans="1:25" x14ac:dyDescent="0.35">
      <c r="A224" s="13">
        <v>45628</v>
      </c>
      <c r="B224" s="15">
        <v>1595.05</v>
      </c>
      <c r="C224" s="11">
        <v>329.95</v>
      </c>
      <c r="D224" s="18">
        <v>1250.6500000000001</v>
      </c>
      <c r="E224" s="7">
        <f t="shared" si="63"/>
        <v>1622.53</v>
      </c>
      <c r="F224" s="7">
        <f t="shared" si="69"/>
        <v>1619.8625</v>
      </c>
      <c r="G224" s="7">
        <f t="shared" si="51"/>
        <v>1680.4110000000001</v>
      </c>
      <c r="H224" s="7">
        <f t="shared" si="66"/>
        <v>1895.6574999999993</v>
      </c>
      <c r="I224" s="7">
        <f t="shared" si="58"/>
        <v>-14.650000000000091</v>
      </c>
      <c r="J224" s="4" t="str">
        <f t="shared" si="54"/>
        <v xml:space="preserve"> </v>
      </c>
      <c r="K224" s="4">
        <f t="shared" si="55"/>
        <v>-14.650000000000091</v>
      </c>
      <c r="L224" s="5">
        <f t="shared" si="64"/>
        <v>339.45000000000005</v>
      </c>
      <c r="M224" s="5">
        <f t="shared" si="70"/>
        <v>326.7475</v>
      </c>
      <c r="N224" s="5">
        <f t="shared" si="52"/>
        <v>290.77600000000007</v>
      </c>
      <c r="O224" s="5">
        <f t="shared" si="67"/>
        <v>282.07265000000001</v>
      </c>
      <c r="P224" s="5">
        <f t="shared" si="59"/>
        <v>-12.150000000000034</v>
      </c>
      <c r="Q224" s="5" t="str">
        <f t="shared" si="60"/>
        <v xml:space="preserve"> </v>
      </c>
      <c r="R224" s="5">
        <f t="shared" si="61"/>
        <v>-12.150000000000034</v>
      </c>
      <c r="S224" s="8">
        <f t="shared" si="65"/>
        <v>1275.05</v>
      </c>
      <c r="T224" s="8">
        <f t="shared" si="71"/>
        <v>1256.5149999999999</v>
      </c>
      <c r="U224" s="8">
        <f t="shared" si="53"/>
        <v>1268.0430000000001</v>
      </c>
      <c r="V224" s="8">
        <f t="shared" si="68"/>
        <v>1453.1509999999994</v>
      </c>
      <c r="W224" s="8">
        <f t="shared" si="62"/>
        <v>-5.3499999999999091</v>
      </c>
      <c r="X224" s="6" t="str">
        <f t="shared" si="56"/>
        <v xml:space="preserve"> </v>
      </c>
      <c r="Y224" s="6">
        <f t="shared" si="57"/>
        <v>-5.3499999999999091</v>
      </c>
    </row>
    <row r="225" spans="1:25" x14ac:dyDescent="0.35">
      <c r="A225" s="13">
        <v>45625</v>
      </c>
      <c r="B225" s="15">
        <v>1580</v>
      </c>
      <c r="C225" s="11">
        <v>328.35</v>
      </c>
      <c r="D225" s="18">
        <v>1235</v>
      </c>
      <c r="E225" s="7">
        <f t="shared" si="63"/>
        <v>1612.34</v>
      </c>
      <c r="F225" s="7">
        <f t="shared" si="69"/>
        <v>1620.2149999999999</v>
      </c>
      <c r="G225" s="7">
        <f t="shared" si="51"/>
        <v>1676.011</v>
      </c>
      <c r="H225" s="7">
        <f t="shared" si="66"/>
        <v>1893.2349999999994</v>
      </c>
      <c r="I225" s="7">
        <f t="shared" si="58"/>
        <v>-15.049999999999955</v>
      </c>
      <c r="J225" s="4" t="str">
        <f t="shared" si="54"/>
        <v xml:space="preserve"> </v>
      </c>
      <c r="K225" s="4">
        <f t="shared" si="55"/>
        <v>-15.049999999999955</v>
      </c>
      <c r="L225" s="5">
        <f t="shared" si="64"/>
        <v>337.34000000000003</v>
      </c>
      <c r="M225" s="5">
        <f t="shared" si="70"/>
        <v>327.92500000000001</v>
      </c>
      <c r="N225" s="5">
        <f t="shared" si="52"/>
        <v>292.35300000000007</v>
      </c>
      <c r="O225" s="5">
        <f t="shared" si="67"/>
        <v>282.12790000000007</v>
      </c>
      <c r="P225" s="5">
        <f t="shared" si="59"/>
        <v>-1.5999999999999659</v>
      </c>
      <c r="Q225" s="5" t="str">
        <f t="shared" si="60"/>
        <v xml:space="preserve"> </v>
      </c>
      <c r="R225" s="5">
        <f t="shared" si="61"/>
        <v>-1.5999999999999659</v>
      </c>
      <c r="S225" s="8">
        <f t="shared" si="65"/>
        <v>1266.3799999999999</v>
      </c>
      <c r="T225" s="8">
        <f t="shared" si="71"/>
        <v>1257.415</v>
      </c>
      <c r="U225" s="8">
        <f t="shared" si="53"/>
        <v>1265.2429999999999</v>
      </c>
      <c r="V225" s="8">
        <f t="shared" si="68"/>
        <v>1451.4209999999998</v>
      </c>
      <c r="W225" s="8">
        <f t="shared" si="62"/>
        <v>-15.650000000000091</v>
      </c>
      <c r="X225" s="6" t="str">
        <f t="shared" si="56"/>
        <v xml:space="preserve"> </v>
      </c>
      <c r="Y225" s="6">
        <f t="shared" si="57"/>
        <v>-15.650000000000091</v>
      </c>
    </row>
    <row r="226" spans="1:25" x14ac:dyDescent="0.35">
      <c r="A226" s="13">
        <v>45624</v>
      </c>
      <c r="B226" s="15">
        <v>1582.3</v>
      </c>
      <c r="C226" s="11">
        <v>325.7</v>
      </c>
      <c r="D226" s="18">
        <v>1268.05</v>
      </c>
      <c r="E226" s="7">
        <f t="shared" si="63"/>
        <v>1599.4</v>
      </c>
      <c r="F226" s="7">
        <f t="shared" si="69"/>
        <v>1620.3799999999999</v>
      </c>
      <c r="G226" s="7">
        <f t="shared" si="51"/>
        <v>1671.8380000000002</v>
      </c>
      <c r="H226" s="7">
        <f t="shared" si="66"/>
        <v>1890.8464999999994</v>
      </c>
      <c r="I226" s="7">
        <f t="shared" si="58"/>
        <v>2.2999999999999545</v>
      </c>
      <c r="J226" s="4">
        <f t="shared" si="54"/>
        <v>2.2999999999999545</v>
      </c>
      <c r="K226" s="4" t="str">
        <f t="shared" si="55"/>
        <v xml:space="preserve"> </v>
      </c>
      <c r="L226" s="5">
        <f t="shared" si="64"/>
        <v>334.22</v>
      </c>
      <c r="M226" s="5">
        <f t="shared" si="70"/>
        <v>328.94749999999999</v>
      </c>
      <c r="N226" s="5">
        <f t="shared" si="52"/>
        <v>293.84500000000003</v>
      </c>
      <c r="O226" s="5">
        <f t="shared" si="67"/>
        <v>282.17715000000004</v>
      </c>
      <c r="P226" s="5">
        <f t="shared" si="59"/>
        <v>-2.6500000000000341</v>
      </c>
      <c r="Q226" s="5" t="str">
        <f t="shared" si="60"/>
        <v xml:space="preserve"> </v>
      </c>
      <c r="R226" s="5">
        <f t="shared" si="61"/>
        <v>-2.6500000000000341</v>
      </c>
      <c r="S226" s="8">
        <f t="shared" si="65"/>
        <v>1261.6000000000001</v>
      </c>
      <c r="T226" s="8">
        <f t="shared" si="71"/>
        <v>1260.8824999999999</v>
      </c>
      <c r="U226" s="8">
        <f t="shared" si="53"/>
        <v>1262.9560000000001</v>
      </c>
      <c r="V226" s="8">
        <f t="shared" si="68"/>
        <v>1449.8762499999998</v>
      </c>
      <c r="W226" s="8">
        <f t="shared" si="62"/>
        <v>33.049999999999955</v>
      </c>
      <c r="X226" s="6">
        <f t="shared" si="56"/>
        <v>33.049999999999955</v>
      </c>
      <c r="Y226" s="6" t="str">
        <f t="shared" si="57"/>
        <v xml:space="preserve"> </v>
      </c>
    </row>
    <row r="227" spans="1:25" x14ac:dyDescent="0.35">
      <c r="A227" s="13">
        <v>45623</v>
      </c>
      <c r="B227" s="15">
        <v>1600</v>
      </c>
      <c r="C227" s="11">
        <v>329.35</v>
      </c>
      <c r="D227" s="18">
        <v>1279.9000000000001</v>
      </c>
      <c r="E227" s="7">
        <f t="shared" si="63"/>
        <v>1593.41</v>
      </c>
      <c r="F227" s="7">
        <f t="shared" si="69"/>
        <v>1622.4324999999999</v>
      </c>
      <c r="G227" s="7">
        <f t="shared" si="51"/>
        <v>1668.001</v>
      </c>
      <c r="H227" s="7">
        <f t="shared" si="66"/>
        <v>1888.4364999999993</v>
      </c>
      <c r="I227" s="7">
        <f t="shared" si="58"/>
        <v>17.700000000000045</v>
      </c>
      <c r="J227" s="4">
        <f t="shared" si="54"/>
        <v>17.700000000000045</v>
      </c>
      <c r="K227" s="4" t="str">
        <f t="shared" si="55"/>
        <v xml:space="preserve"> </v>
      </c>
      <c r="L227" s="5">
        <f t="shared" si="64"/>
        <v>331.09</v>
      </c>
      <c r="M227" s="5">
        <f t="shared" si="70"/>
        <v>330.14750000000004</v>
      </c>
      <c r="N227" s="5">
        <f t="shared" si="52"/>
        <v>295.44400000000007</v>
      </c>
      <c r="O227" s="5">
        <f t="shared" si="67"/>
        <v>282.24490000000003</v>
      </c>
      <c r="P227" s="5">
        <f t="shared" si="59"/>
        <v>3.6500000000000341</v>
      </c>
      <c r="Q227" s="5">
        <f t="shared" si="60"/>
        <v>3.6500000000000341</v>
      </c>
      <c r="R227" s="5" t="str">
        <f t="shared" si="61"/>
        <v xml:space="preserve"> </v>
      </c>
      <c r="S227" s="8">
        <f t="shared" si="65"/>
        <v>1257.92</v>
      </c>
      <c r="T227" s="8">
        <f t="shared" si="71"/>
        <v>1265.52</v>
      </c>
      <c r="U227" s="8">
        <f t="shared" si="53"/>
        <v>1260.8160000000003</v>
      </c>
      <c r="V227" s="8">
        <f t="shared" si="68"/>
        <v>1448.3457499999995</v>
      </c>
      <c r="W227" s="8">
        <f t="shared" si="62"/>
        <v>11.850000000000136</v>
      </c>
      <c r="X227" s="6">
        <f t="shared" si="56"/>
        <v>11.850000000000136</v>
      </c>
      <c r="Y227" s="6" t="str">
        <f t="shared" si="57"/>
        <v xml:space="preserve"> </v>
      </c>
    </row>
    <row r="228" spans="1:25" x14ac:dyDescent="0.35">
      <c r="A228" s="13">
        <v>45622</v>
      </c>
      <c r="B228" s="15">
        <v>1594</v>
      </c>
      <c r="C228" s="11">
        <v>326.10000000000002</v>
      </c>
      <c r="D228" s="18">
        <v>1266</v>
      </c>
      <c r="E228" s="7">
        <f t="shared" si="63"/>
        <v>1590.27</v>
      </c>
      <c r="F228" s="7">
        <f t="shared" si="69"/>
        <v>1623.9375</v>
      </c>
      <c r="G228" s="7">
        <f t="shared" si="51"/>
        <v>1663.799</v>
      </c>
      <c r="H228" s="7">
        <f t="shared" si="66"/>
        <v>1886.0024999999991</v>
      </c>
      <c r="I228" s="7">
        <f t="shared" si="58"/>
        <v>-6</v>
      </c>
      <c r="J228" s="4" t="str">
        <f t="shared" si="54"/>
        <v xml:space="preserve"> </v>
      </c>
      <c r="K228" s="4">
        <f t="shared" si="55"/>
        <v>-6</v>
      </c>
      <c r="L228" s="5">
        <f t="shared" si="64"/>
        <v>327.89</v>
      </c>
      <c r="M228" s="5">
        <f t="shared" si="70"/>
        <v>331.20500000000004</v>
      </c>
      <c r="N228" s="5">
        <f t="shared" si="52"/>
        <v>297.06600000000003</v>
      </c>
      <c r="O228" s="5">
        <f t="shared" si="67"/>
        <v>282.29789999999997</v>
      </c>
      <c r="P228" s="5">
        <f t="shared" si="59"/>
        <v>-3.25</v>
      </c>
      <c r="Q228" s="5" t="str">
        <f t="shared" si="60"/>
        <v xml:space="preserve"> </v>
      </c>
      <c r="R228" s="5">
        <f t="shared" si="61"/>
        <v>-3.25</v>
      </c>
      <c r="S228" s="8">
        <f t="shared" si="65"/>
        <v>1259.92</v>
      </c>
      <c r="T228" s="8">
        <f t="shared" si="71"/>
        <v>1269.5700000000002</v>
      </c>
      <c r="U228" s="8">
        <f t="shared" si="53"/>
        <v>1258.3760000000004</v>
      </c>
      <c r="V228" s="8">
        <f t="shared" si="68"/>
        <v>1447.0782499999996</v>
      </c>
      <c r="W228" s="8">
        <f t="shared" si="62"/>
        <v>-13.900000000000091</v>
      </c>
      <c r="X228" s="6" t="str">
        <f t="shared" si="56"/>
        <v xml:space="preserve"> </v>
      </c>
      <c r="Y228" s="6">
        <f t="shared" si="57"/>
        <v>-13.900000000000091</v>
      </c>
    </row>
    <row r="229" spans="1:25" x14ac:dyDescent="0.35">
      <c r="A229" s="13">
        <v>45621</v>
      </c>
      <c r="B229" s="15">
        <v>1612</v>
      </c>
      <c r="C229" s="11">
        <v>320</v>
      </c>
      <c r="D229" s="18">
        <v>1245.7</v>
      </c>
      <c r="E229" s="7">
        <f t="shared" si="63"/>
        <v>1593.66</v>
      </c>
      <c r="F229" s="7">
        <f t="shared" si="69"/>
        <v>1626.3899999999999</v>
      </c>
      <c r="G229" s="7">
        <f t="shared" si="51"/>
        <v>1660.144</v>
      </c>
      <c r="H229" s="7">
        <f t="shared" si="66"/>
        <v>1883.6464999999994</v>
      </c>
      <c r="I229" s="7">
        <f t="shared" si="58"/>
        <v>18</v>
      </c>
      <c r="J229" s="4">
        <f t="shared" si="54"/>
        <v>18</v>
      </c>
      <c r="K229" s="4" t="str">
        <f t="shared" si="55"/>
        <v xml:space="preserve"> </v>
      </c>
      <c r="L229" s="5">
        <f t="shared" si="64"/>
        <v>325.89999999999998</v>
      </c>
      <c r="M229" s="5">
        <f t="shared" si="70"/>
        <v>331.96000000000009</v>
      </c>
      <c r="N229" s="5">
        <f t="shared" si="52"/>
        <v>298.78000000000009</v>
      </c>
      <c r="O229" s="5">
        <f t="shared" si="67"/>
        <v>282.34189999999995</v>
      </c>
      <c r="P229" s="5">
        <f t="shared" si="59"/>
        <v>-6.1000000000000227</v>
      </c>
      <c r="Q229" s="5" t="str">
        <f t="shared" si="60"/>
        <v xml:space="preserve"> </v>
      </c>
      <c r="R229" s="5">
        <f t="shared" si="61"/>
        <v>-6.1000000000000227</v>
      </c>
      <c r="S229" s="8">
        <f t="shared" si="65"/>
        <v>1258.93</v>
      </c>
      <c r="T229" s="8">
        <f t="shared" si="71"/>
        <v>1273.1400000000001</v>
      </c>
      <c r="U229" s="8">
        <f t="shared" si="53"/>
        <v>1256.5200000000002</v>
      </c>
      <c r="V229" s="8">
        <f t="shared" si="68"/>
        <v>1445.7517499999997</v>
      </c>
      <c r="W229" s="8">
        <f t="shared" si="62"/>
        <v>-20.299999999999955</v>
      </c>
      <c r="X229" s="6" t="str">
        <f t="shared" si="56"/>
        <v xml:space="preserve"> </v>
      </c>
      <c r="Y229" s="6">
        <f t="shared" si="57"/>
        <v>-20.299999999999955</v>
      </c>
    </row>
    <row r="230" spans="1:25" x14ac:dyDescent="0.35">
      <c r="A230" s="13">
        <v>45618</v>
      </c>
      <c r="B230" s="15">
        <v>1601</v>
      </c>
      <c r="C230" s="11">
        <v>313.95</v>
      </c>
      <c r="D230" s="18">
        <v>1208.0999999999999</v>
      </c>
      <c r="E230" s="7">
        <f t="shared" si="63"/>
        <v>1597.8600000000001</v>
      </c>
      <c r="F230" s="7">
        <f t="shared" si="69"/>
        <v>1627.94</v>
      </c>
      <c r="G230" s="7">
        <f t="shared" si="51"/>
        <v>1656.838</v>
      </c>
      <c r="H230" s="7">
        <f t="shared" si="66"/>
        <v>1881.4664999999995</v>
      </c>
      <c r="I230" s="7">
        <f t="shared" si="58"/>
        <v>-11</v>
      </c>
      <c r="J230" s="4" t="str">
        <f t="shared" si="54"/>
        <v xml:space="preserve"> </v>
      </c>
      <c r="K230" s="4">
        <f t="shared" si="55"/>
        <v>-11</v>
      </c>
      <c r="L230" s="5">
        <f t="shared" si="64"/>
        <v>323.02000000000004</v>
      </c>
      <c r="M230" s="5">
        <f t="shared" si="70"/>
        <v>332.38750000000005</v>
      </c>
      <c r="N230" s="5">
        <f t="shared" si="52"/>
        <v>300.2290000000001</v>
      </c>
      <c r="O230" s="5">
        <f t="shared" si="67"/>
        <v>282.35714999999993</v>
      </c>
      <c r="P230" s="5">
        <f t="shared" si="59"/>
        <v>-6.0500000000000114</v>
      </c>
      <c r="Q230" s="5" t="str">
        <f t="shared" si="60"/>
        <v xml:space="preserve"> </v>
      </c>
      <c r="R230" s="5">
        <f t="shared" si="61"/>
        <v>-6.0500000000000114</v>
      </c>
      <c r="S230" s="8">
        <f t="shared" si="65"/>
        <v>1253.55</v>
      </c>
      <c r="T230" s="8">
        <f t="shared" si="71"/>
        <v>1274.145</v>
      </c>
      <c r="U230" s="8">
        <f t="shared" si="53"/>
        <v>1255.3820000000003</v>
      </c>
      <c r="V230" s="8">
        <f t="shared" si="68"/>
        <v>1444.3222499999997</v>
      </c>
      <c r="W230" s="8">
        <f t="shared" si="62"/>
        <v>-37.600000000000136</v>
      </c>
      <c r="X230" s="6" t="str">
        <f t="shared" si="56"/>
        <v xml:space="preserve"> </v>
      </c>
      <c r="Y230" s="6">
        <f t="shared" si="57"/>
        <v>-37.600000000000136</v>
      </c>
    </row>
    <row r="231" spans="1:25" x14ac:dyDescent="0.35">
      <c r="A231" s="13">
        <v>45617</v>
      </c>
      <c r="B231" s="15">
        <v>1565.25</v>
      </c>
      <c r="C231" s="11">
        <v>314.2</v>
      </c>
      <c r="D231" s="18">
        <v>1206.75</v>
      </c>
      <c r="E231" s="7">
        <f t="shared" si="63"/>
        <v>1594.45</v>
      </c>
      <c r="F231" s="7">
        <f t="shared" si="69"/>
        <v>1626.5625</v>
      </c>
      <c r="G231" s="7">
        <f t="shared" si="51"/>
        <v>1653.2959999999998</v>
      </c>
      <c r="H231" s="7">
        <f t="shared" si="66"/>
        <v>1879.1027499999993</v>
      </c>
      <c r="I231" s="7">
        <f t="shared" si="58"/>
        <v>-35.75</v>
      </c>
      <c r="J231" s="4" t="str">
        <f t="shared" si="54"/>
        <v xml:space="preserve"> </v>
      </c>
      <c r="K231" s="4">
        <f t="shared" si="55"/>
        <v>-35.75</v>
      </c>
      <c r="L231" s="5">
        <f t="shared" si="64"/>
        <v>320.72000000000003</v>
      </c>
      <c r="M231" s="5">
        <f t="shared" si="70"/>
        <v>332.41</v>
      </c>
      <c r="N231" s="5">
        <f t="shared" si="52"/>
        <v>301.64800000000008</v>
      </c>
      <c r="O231" s="5">
        <f t="shared" si="67"/>
        <v>282.37639999999993</v>
      </c>
      <c r="P231" s="5">
        <f t="shared" si="59"/>
        <v>0.25</v>
      </c>
      <c r="Q231" s="5">
        <f t="shared" si="60"/>
        <v>0.25</v>
      </c>
      <c r="R231" s="5" t="str">
        <f t="shared" si="61"/>
        <v xml:space="preserve"> </v>
      </c>
      <c r="S231" s="8">
        <f t="shared" si="65"/>
        <v>1241.2900000000002</v>
      </c>
      <c r="T231" s="8">
        <f t="shared" si="71"/>
        <v>1273.7424999999998</v>
      </c>
      <c r="U231" s="8">
        <f t="shared" si="53"/>
        <v>1253.6940000000002</v>
      </c>
      <c r="V231" s="8">
        <f t="shared" si="68"/>
        <v>1442.7139999999997</v>
      </c>
      <c r="W231" s="8">
        <f t="shared" si="62"/>
        <v>-1.3499999999999091</v>
      </c>
      <c r="X231" s="6" t="str">
        <f t="shared" si="56"/>
        <v xml:space="preserve"> </v>
      </c>
      <c r="Y231" s="6">
        <f t="shared" si="57"/>
        <v>-1.3499999999999091</v>
      </c>
    </row>
    <row r="232" spans="1:25" x14ac:dyDescent="0.35">
      <c r="A232" s="13">
        <v>45615</v>
      </c>
      <c r="B232" s="15">
        <v>1594</v>
      </c>
      <c r="C232" s="11">
        <v>317.85000000000002</v>
      </c>
      <c r="D232" s="18">
        <v>1225.8499999999999</v>
      </c>
      <c r="E232" s="7">
        <f t="shared" si="63"/>
        <v>1593.25</v>
      </c>
      <c r="F232" s="7">
        <f t="shared" si="69"/>
        <v>1624.8674999999998</v>
      </c>
      <c r="G232" s="7">
        <f t="shared" si="51"/>
        <v>1650.1760000000002</v>
      </c>
      <c r="H232" s="7">
        <f t="shared" si="66"/>
        <v>1876.9397499999995</v>
      </c>
      <c r="I232" s="7">
        <f t="shared" si="58"/>
        <v>28.75</v>
      </c>
      <c r="J232" s="4">
        <f t="shared" si="54"/>
        <v>28.75</v>
      </c>
      <c r="K232" s="4" t="str">
        <f t="shared" si="55"/>
        <v xml:space="preserve"> </v>
      </c>
      <c r="L232" s="5">
        <f t="shared" si="64"/>
        <v>318.41999999999996</v>
      </c>
      <c r="M232" s="5">
        <f t="shared" si="70"/>
        <v>332.05250000000007</v>
      </c>
      <c r="N232" s="5">
        <f t="shared" si="52"/>
        <v>303.28700000000009</v>
      </c>
      <c r="O232" s="5">
        <f t="shared" si="67"/>
        <v>282.42264999999992</v>
      </c>
      <c r="P232" s="5">
        <f t="shared" si="59"/>
        <v>3.6500000000000341</v>
      </c>
      <c r="Q232" s="5">
        <f t="shared" si="60"/>
        <v>3.6500000000000341</v>
      </c>
      <c r="R232" s="5" t="str">
        <f t="shared" si="61"/>
        <v xml:space="preserve"> </v>
      </c>
      <c r="S232" s="8">
        <f t="shared" si="65"/>
        <v>1230.48</v>
      </c>
      <c r="T232" s="8">
        <f t="shared" si="71"/>
        <v>1272.9349999999999</v>
      </c>
      <c r="U232" s="8">
        <f t="shared" si="53"/>
        <v>1252.5110000000002</v>
      </c>
      <c r="V232" s="8">
        <f t="shared" si="68"/>
        <v>1441.3132499999995</v>
      </c>
      <c r="W232" s="8">
        <f t="shared" si="62"/>
        <v>19.099999999999909</v>
      </c>
      <c r="X232" s="6">
        <f t="shared" si="56"/>
        <v>19.099999999999909</v>
      </c>
      <c r="Y232" s="6" t="str">
        <f t="shared" si="57"/>
        <v xml:space="preserve"> </v>
      </c>
    </row>
    <row r="233" spans="1:25" x14ac:dyDescent="0.35">
      <c r="A233" s="13">
        <v>45614</v>
      </c>
      <c r="B233" s="15">
        <v>1619.7</v>
      </c>
      <c r="C233" s="11">
        <v>319</v>
      </c>
      <c r="D233" s="18">
        <v>1240</v>
      </c>
      <c r="E233" s="7">
        <f t="shared" si="63"/>
        <v>1598.3899999999999</v>
      </c>
      <c r="F233" s="7">
        <f t="shared" si="69"/>
        <v>1623.66</v>
      </c>
      <c r="G233" s="7">
        <f t="shared" si="51"/>
        <v>1646.818</v>
      </c>
      <c r="H233" s="7">
        <f t="shared" si="66"/>
        <v>1874.9882499999992</v>
      </c>
      <c r="I233" s="7">
        <f t="shared" si="58"/>
        <v>25.700000000000045</v>
      </c>
      <c r="J233" s="4">
        <f t="shared" si="54"/>
        <v>25.700000000000045</v>
      </c>
      <c r="K233" s="4" t="str">
        <f t="shared" si="55"/>
        <v xml:space="preserve"> </v>
      </c>
      <c r="L233" s="5">
        <f t="shared" si="64"/>
        <v>317</v>
      </c>
      <c r="M233" s="5">
        <f t="shared" si="70"/>
        <v>331.16500000000002</v>
      </c>
      <c r="N233" s="5">
        <f t="shared" si="52"/>
        <v>304.86500000000012</v>
      </c>
      <c r="O233" s="5">
        <f t="shared" si="67"/>
        <v>282.46339999999992</v>
      </c>
      <c r="P233" s="5">
        <f t="shared" si="59"/>
        <v>1.1499999999999773</v>
      </c>
      <c r="Q233" s="5">
        <f t="shared" si="60"/>
        <v>1.1499999999999773</v>
      </c>
      <c r="R233" s="5" t="str">
        <f t="shared" si="61"/>
        <v xml:space="preserve"> </v>
      </c>
      <c r="S233" s="8">
        <f t="shared" si="65"/>
        <v>1225.28</v>
      </c>
      <c r="T233" s="8">
        <f t="shared" si="71"/>
        <v>1272.6775</v>
      </c>
      <c r="U233" s="8">
        <f t="shared" si="53"/>
        <v>1251.4510000000002</v>
      </c>
      <c r="V233" s="8">
        <f t="shared" si="68"/>
        <v>1440.0577499999993</v>
      </c>
      <c r="W233" s="8">
        <f t="shared" si="62"/>
        <v>14.150000000000091</v>
      </c>
      <c r="X233" s="6">
        <f t="shared" si="56"/>
        <v>14.150000000000091</v>
      </c>
      <c r="Y233" s="6" t="str">
        <f t="shared" si="57"/>
        <v xml:space="preserve"> </v>
      </c>
    </row>
    <row r="234" spans="1:25" x14ac:dyDescent="0.35">
      <c r="A234" s="13">
        <v>45610</v>
      </c>
      <c r="B234" s="15">
        <v>1639.05</v>
      </c>
      <c r="C234" s="11">
        <v>319.60000000000002</v>
      </c>
      <c r="D234" s="18">
        <v>1214.9000000000001</v>
      </c>
      <c r="E234" s="7">
        <f t="shared" si="63"/>
        <v>1603.8</v>
      </c>
      <c r="F234" s="7">
        <f t="shared" si="69"/>
        <v>1621.9425000000001</v>
      </c>
      <c r="G234" s="7">
        <f t="shared" si="51"/>
        <v>1644.1969999999999</v>
      </c>
      <c r="H234" s="7">
        <f t="shared" si="66"/>
        <v>1873.1084999999991</v>
      </c>
      <c r="I234" s="7">
        <f t="shared" si="58"/>
        <v>19.349999999999909</v>
      </c>
      <c r="J234" s="4">
        <f t="shared" si="54"/>
        <v>19.349999999999909</v>
      </c>
      <c r="K234" s="4" t="str">
        <f t="shared" si="55"/>
        <v xml:space="preserve"> </v>
      </c>
      <c r="L234" s="5">
        <f t="shared" si="64"/>
        <v>316.91999999999996</v>
      </c>
      <c r="M234" s="5">
        <f t="shared" si="70"/>
        <v>330.15250000000003</v>
      </c>
      <c r="N234" s="5">
        <f t="shared" si="52"/>
        <v>306.56700000000006</v>
      </c>
      <c r="O234" s="5">
        <f t="shared" si="67"/>
        <v>282.51139999999992</v>
      </c>
      <c r="P234" s="5">
        <f t="shared" si="59"/>
        <v>0.60000000000002274</v>
      </c>
      <c r="Q234" s="5">
        <f t="shared" si="60"/>
        <v>0.60000000000002274</v>
      </c>
      <c r="R234" s="5" t="str">
        <f t="shared" si="61"/>
        <v xml:space="preserve"> </v>
      </c>
      <c r="S234" s="8">
        <f t="shared" si="65"/>
        <v>1219.1200000000001</v>
      </c>
      <c r="T234" s="8">
        <f t="shared" si="71"/>
        <v>1269.1699999999998</v>
      </c>
      <c r="U234" s="8">
        <f t="shared" si="53"/>
        <v>1251.0690000000002</v>
      </c>
      <c r="V234" s="8">
        <f t="shared" si="68"/>
        <v>1438.6772499999995</v>
      </c>
      <c r="W234" s="8">
        <f t="shared" si="62"/>
        <v>-25.099999999999909</v>
      </c>
      <c r="X234" s="6" t="str">
        <f t="shared" si="56"/>
        <v xml:space="preserve"> </v>
      </c>
      <c r="Y234" s="6">
        <f t="shared" si="57"/>
        <v>-25.099999999999909</v>
      </c>
    </row>
    <row r="235" spans="1:25" x14ac:dyDescent="0.35">
      <c r="A235" s="13">
        <v>45609</v>
      </c>
      <c r="B235" s="15">
        <v>1665.05</v>
      </c>
      <c r="C235" s="11">
        <v>300.39999999999998</v>
      </c>
      <c r="D235" s="18">
        <v>1208.4000000000001</v>
      </c>
      <c r="E235" s="7">
        <f t="shared" si="63"/>
        <v>1616.6100000000001</v>
      </c>
      <c r="F235" s="7">
        <f t="shared" si="69"/>
        <v>1621.2925</v>
      </c>
      <c r="G235" s="7">
        <f t="shared" si="51"/>
        <v>1643.3970000000002</v>
      </c>
      <c r="H235" s="7">
        <f t="shared" si="66"/>
        <v>1871.4187499999991</v>
      </c>
      <c r="I235" s="7">
        <f t="shared" si="58"/>
        <v>26</v>
      </c>
      <c r="J235" s="4">
        <f t="shared" si="54"/>
        <v>26</v>
      </c>
      <c r="K235" s="4" t="str">
        <f t="shared" si="55"/>
        <v xml:space="preserve"> </v>
      </c>
      <c r="L235" s="5">
        <f t="shared" si="64"/>
        <v>314.21000000000004</v>
      </c>
      <c r="M235" s="5">
        <f t="shared" si="70"/>
        <v>328.23749999999995</v>
      </c>
      <c r="N235" s="5">
        <f t="shared" si="52"/>
        <v>307.90900000000011</v>
      </c>
      <c r="O235" s="5">
        <f t="shared" si="67"/>
        <v>282.46439999999996</v>
      </c>
      <c r="P235" s="5">
        <f t="shared" si="59"/>
        <v>-19.200000000000045</v>
      </c>
      <c r="Q235" s="5" t="str">
        <f t="shared" si="60"/>
        <v xml:space="preserve"> </v>
      </c>
      <c r="R235" s="5">
        <f t="shared" si="61"/>
        <v>-19.200000000000045</v>
      </c>
      <c r="S235" s="8">
        <f t="shared" si="65"/>
        <v>1219.1799999999998</v>
      </c>
      <c r="T235" s="8">
        <f t="shared" si="71"/>
        <v>1264.24</v>
      </c>
      <c r="U235" s="8">
        <f t="shared" si="53"/>
        <v>1251.7250000000001</v>
      </c>
      <c r="V235" s="8">
        <f t="shared" si="68"/>
        <v>1437.4042499999996</v>
      </c>
      <c r="W235" s="8">
        <f t="shared" si="62"/>
        <v>-6.5</v>
      </c>
      <c r="X235" s="6" t="str">
        <f t="shared" si="56"/>
        <v xml:space="preserve"> </v>
      </c>
      <c r="Y235" s="6">
        <f t="shared" si="57"/>
        <v>-6.5</v>
      </c>
    </row>
    <row r="236" spans="1:25" x14ac:dyDescent="0.35">
      <c r="A236" s="13">
        <v>45608</v>
      </c>
      <c r="B236" s="15">
        <v>1690.2</v>
      </c>
      <c r="C236" s="11">
        <v>310.5</v>
      </c>
      <c r="D236" s="18">
        <v>1239.7</v>
      </c>
      <c r="E236" s="7">
        <f t="shared" si="63"/>
        <v>1641.6</v>
      </c>
      <c r="F236" s="7">
        <f t="shared" si="69"/>
        <v>1622.01</v>
      </c>
      <c r="G236" s="7">
        <f t="shared" si="51"/>
        <v>1642.6099999999997</v>
      </c>
      <c r="H236" s="7">
        <f t="shared" si="66"/>
        <v>1870.0147499999991</v>
      </c>
      <c r="I236" s="7">
        <f t="shared" si="58"/>
        <v>25.150000000000091</v>
      </c>
      <c r="J236" s="4">
        <f t="shared" si="54"/>
        <v>25.150000000000091</v>
      </c>
      <c r="K236" s="4" t="str">
        <f t="shared" si="55"/>
        <v xml:space="preserve"> </v>
      </c>
      <c r="L236" s="5">
        <f t="shared" si="64"/>
        <v>313.46999999999997</v>
      </c>
      <c r="M236" s="5">
        <f t="shared" si="70"/>
        <v>326.84499999999997</v>
      </c>
      <c r="N236" s="5">
        <f t="shared" si="52"/>
        <v>309.24100000000004</v>
      </c>
      <c r="O236" s="5">
        <f t="shared" si="67"/>
        <v>282.44739999999996</v>
      </c>
      <c r="P236" s="5">
        <f t="shared" si="59"/>
        <v>10.100000000000023</v>
      </c>
      <c r="Q236" s="5">
        <f t="shared" si="60"/>
        <v>10.100000000000023</v>
      </c>
      <c r="R236" s="5" t="str">
        <f t="shared" si="61"/>
        <v xml:space="preserve"> </v>
      </c>
      <c r="S236" s="8">
        <f t="shared" si="65"/>
        <v>1225.77</v>
      </c>
      <c r="T236" s="8">
        <f t="shared" si="71"/>
        <v>1259.0250000000001</v>
      </c>
      <c r="U236" s="8">
        <f t="shared" si="53"/>
        <v>1252.029</v>
      </c>
      <c r="V236" s="8">
        <f t="shared" si="68"/>
        <v>1436.3827499999998</v>
      </c>
      <c r="W236" s="8">
        <f t="shared" si="62"/>
        <v>31.299999999999955</v>
      </c>
      <c r="X236" s="6">
        <f t="shared" si="56"/>
        <v>31.299999999999955</v>
      </c>
      <c r="Y236" s="6" t="str">
        <f t="shared" si="57"/>
        <v xml:space="preserve"> </v>
      </c>
    </row>
    <row r="237" spans="1:25" x14ac:dyDescent="0.35">
      <c r="A237" s="13">
        <v>45607</v>
      </c>
      <c r="B237" s="15">
        <v>1720</v>
      </c>
      <c r="C237" s="11">
        <v>311.89999999999998</v>
      </c>
      <c r="D237" s="18">
        <v>1265</v>
      </c>
      <c r="E237" s="7">
        <f t="shared" si="63"/>
        <v>1666.8</v>
      </c>
      <c r="F237" s="7">
        <f t="shared" si="69"/>
        <v>1623.8150000000001</v>
      </c>
      <c r="G237" s="7">
        <f t="shared" si="51"/>
        <v>1642.07</v>
      </c>
      <c r="H237" s="7">
        <f t="shared" si="66"/>
        <v>1868.8297499999992</v>
      </c>
      <c r="I237" s="7">
        <f t="shared" si="58"/>
        <v>29.799999999999955</v>
      </c>
      <c r="J237" s="4">
        <f t="shared" si="54"/>
        <v>29.799999999999955</v>
      </c>
      <c r="K237" s="4" t="str">
        <f t="shared" si="55"/>
        <v xml:space="preserve"> </v>
      </c>
      <c r="L237" s="5">
        <f t="shared" si="64"/>
        <v>312.28000000000003</v>
      </c>
      <c r="M237" s="5">
        <f t="shared" si="70"/>
        <v>325.26499999999999</v>
      </c>
      <c r="N237" s="5">
        <f t="shared" si="52"/>
        <v>310.37900000000008</v>
      </c>
      <c r="O237" s="5">
        <f t="shared" si="67"/>
        <v>282.44839999999994</v>
      </c>
      <c r="P237" s="5">
        <f t="shared" si="59"/>
        <v>1.3999999999999773</v>
      </c>
      <c r="Q237" s="5">
        <f t="shared" si="60"/>
        <v>1.3999999999999773</v>
      </c>
      <c r="R237" s="5" t="str">
        <f t="shared" si="61"/>
        <v xml:space="preserve"> </v>
      </c>
      <c r="S237" s="8">
        <f t="shared" si="65"/>
        <v>1233.5999999999999</v>
      </c>
      <c r="T237" s="8">
        <f t="shared" si="71"/>
        <v>1254.925</v>
      </c>
      <c r="U237" s="8">
        <f t="shared" si="53"/>
        <v>1252.4090000000001</v>
      </c>
      <c r="V237" s="8">
        <f t="shared" si="68"/>
        <v>1435.5427499999998</v>
      </c>
      <c r="W237" s="8">
        <f t="shared" si="62"/>
        <v>25.299999999999955</v>
      </c>
      <c r="X237" s="6">
        <f t="shared" si="56"/>
        <v>25.299999999999955</v>
      </c>
      <c r="Y237" s="6" t="str">
        <f t="shared" si="57"/>
        <v xml:space="preserve"> </v>
      </c>
    </row>
    <row r="238" spans="1:25" x14ac:dyDescent="0.35">
      <c r="A238" s="13">
        <v>45604</v>
      </c>
      <c r="B238" s="15">
        <v>1738</v>
      </c>
      <c r="C238" s="11">
        <v>315</v>
      </c>
      <c r="D238" s="18">
        <v>1260</v>
      </c>
      <c r="E238" s="7">
        <f t="shared" si="63"/>
        <v>1690.4599999999998</v>
      </c>
      <c r="F238" s="7">
        <f t="shared" si="69"/>
        <v>1627.5149999999999</v>
      </c>
      <c r="G238" s="7">
        <f t="shared" si="51"/>
        <v>1641.979</v>
      </c>
      <c r="H238" s="7">
        <f t="shared" si="66"/>
        <v>1867.805249999999</v>
      </c>
      <c r="I238" s="7">
        <f t="shared" si="58"/>
        <v>18</v>
      </c>
      <c r="J238" s="4">
        <f t="shared" si="54"/>
        <v>18</v>
      </c>
      <c r="K238" s="4" t="str">
        <f t="shared" si="55"/>
        <v xml:space="preserve"> </v>
      </c>
      <c r="L238" s="5">
        <f t="shared" si="64"/>
        <v>311.48</v>
      </c>
      <c r="M238" s="5">
        <f t="shared" si="70"/>
        <v>324.27249999999998</v>
      </c>
      <c r="N238" s="5">
        <f t="shared" si="52"/>
        <v>311.41300000000001</v>
      </c>
      <c r="O238" s="5">
        <f t="shared" si="67"/>
        <v>282.45139999999992</v>
      </c>
      <c r="P238" s="5">
        <f t="shared" si="59"/>
        <v>3.1000000000000227</v>
      </c>
      <c r="Q238" s="5">
        <f t="shared" si="60"/>
        <v>3.1000000000000227</v>
      </c>
      <c r="R238" s="5" t="str">
        <f t="shared" si="61"/>
        <v xml:space="preserve"> </v>
      </c>
      <c r="S238" s="8">
        <f t="shared" si="65"/>
        <v>1237.5999999999999</v>
      </c>
      <c r="T238" s="8">
        <f t="shared" si="71"/>
        <v>1250.9325000000001</v>
      </c>
      <c r="U238" s="8">
        <f t="shared" si="53"/>
        <v>1252.1890000000001</v>
      </c>
      <c r="V238" s="8">
        <f t="shared" si="68"/>
        <v>1434.5912499999999</v>
      </c>
      <c r="W238" s="8">
        <f t="shared" si="62"/>
        <v>-5</v>
      </c>
      <c r="X238" s="6" t="str">
        <f t="shared" si="56"/>
        <v xml:space="preserve"> </v>
      </c>
      <c r="Y238" s="6">
        <f t="shared" si="57"/>
        <v>-5</v>
      </c>
    </row>
    <row r="239" spans="1:25" x14ac:dyDescent="0.35">
      <c r="A239" s="13">
        <v>45603</v>
      </c>
      <c r="B239" s="15">
        <v>1732.15</v>
      </c>
      <c r="C239" s="11">
        <v>321.25</v>
      </c>
      <c r="D239" s="18">
        <v>1283</v>
      </c>
      <c r="E239" s="7">
        <f t="shared" si="63"/>
        <v>1709.08</v>
      </c>
      <c r="F239" s="7">
        <f t="shared" si="69"/>
        <v>1632.2674999999999</v>
      </c>
      <c r="G239" s="7">
        <f t="shared" si="51"/>
        <v>1642.3820000000001</v>
      </c>
      <c r="H239" s="7">
        <f t="shared" si="66"/>
        <v>1866.8859999999995</v>
      </c>
      <c r="I239" s="7">
        <f t="shared" si="58"/>
        <v>-5.8499999999999091</v>
      </c>
      <c r="J239" s="4" t="str">
        <f t="shared" si="54"/>
        <v xml:space="preserve"> </v>
      </c>
      <c r="K239" s="4">
        <f t="shared" si="55"/>
        <v>-5.8499999999999091</v>
      </c>
      <c r="L239" s="5">
        <f t="shared" si="64"/>
        <v>311.81</v>
      </c>
      <c r="M239" s="5">
        <f t="shared" si="70"/>
        <v>323.52</v>
      </c>
      <c r="N239" s="5">
        <f t="shared" si="52"/>
        <v>312.63900000000007</v>
      </c>
      <c r="O239" s="5">
        <f t="shared" si="67"/>
        <v>282.50114999999988</v>
      </c>
      <c r="P239" s="5">
        <f t="shared" si="59"/>
        <v>6.25</v>
      </c>
      <c r="Q239" s="5">
        <f t="shared" si="60"/>
        <v>6.25</v>
      </c>
      <c r="R239" s="5" t="str">
        <f t="shared" si="61"/>
        <v xml:space="preserve"> </v>
      </c>
      <c r="S239" s="8">
        <f t="shared" si="65"/>
        <v>1251.22</v>
      </c>
      <c r="T239" s="8">
        <f t="shared" si="71"/>
        <v>1251.0800000000002</v>
      </c>
      <c r="U239" s="8">
        <f t="shared" si="53"/>
        <v>1253.058</v>
      </c>
      <c r="V239" s="8">
        <f t="shared" si="68"/>
        <v>1433.8877499999999</v>
      </c>
      <c r="W239" s="8">
        <f t="shared" si="62"/>
        <v>23</v>
      </c>
      <c r="X239" s="6">
        <f t="shared" si="56"/>
        <v>23</v>
      </c>
      <c r="Y239" s="6" t="str">
        <f t="shared" si="57"/>
        <v xml:space="preserve"> </v>
      </c>
    </row>
    <row r="240" spans="1:25" x14ac:dyDescent="0.35">
      <c r="A240" s="13">
        <v>45602</v>
      </c>
      <c r="B240" s="15">
        <v>1750.15</v>
      </c>
      <c r="C240" s="11">
        <v>326.45</v>
      </c>
      <c r="D240" s="18">
        <v>1304.55</v>
      </c>
      <c r="E240" s="7">
        <f t="shared" si="63"/>
        <v>1726.1</v>
      </c>
      <c r="F240" s="7">
        <f t="shared" si="69"/>
        <v>1638.2275000000002</v>
      </c>
      <c r="G240" s="7">
        <f t="shared" si="51"/>
        <v>1642.645</v>
      </c>
      <c r="H240" s="7">
        <f t="shared" si="66"/>
        <v>1866.0517499999996</v>
      </c>
      <c r="I240" s="7">
        <f t="shared" si="58"/>
        <v>18</v>
      </c>
      <c r="J240" s="4">
        <f t="shared" si="54"/>
        <v>18</v>
      </c>
      <c r="K240" s="4" t="str">
        <f t="shared" si="55"/>
        <v xml:space="preserve"> </v>
      </c>
      <c r="L240" s="5">
        <f t="shared" si="64"/>
        <v>317.02000000000004</v>
      </c>
      <c r="M240" s="5">
        <f t="shared" si="70"/>
        <v>322.89749999999998</v>
      </c>
      <c r="N240" s="5">
        <f t="shared" si="52"/>
        <v>313.6520000000001</v>
      </c>
      <c r="O240" s="5">
        <f t="shared" si="67"/>
        <v>282.5771499999999</v>
      </c>
      <c r="P240" s="5">
        <f t="shared" si="59"/>
        <v>5.1999999999999886</v>
      </c>
      <c r="Q240" s="5">
        <f t="shared" si="60"/>
        <v>5.1999999999999886</v>
      </c>
      <c r="R240" s="5" t="str">
        <f t="shared" si="61"/>
        <v xml:space="preserve"> </v>
      </c>
      <c r="S240" s="8">
        <f t="shared" si="65"/>
        <v>1270.45</v>
      </c>
      <c r="T240" s="8">
        <f t="shared" si="71"/>
        <v>1252.3900000000001</v>
      </c>
      <c r="U240" s="8">
        <f t="shared" si="53"/>
        <v>1254.2220000000002</v>
      </c>
      <c r="V240" s="8">
        <f t="shared" si="68"/>
        <v>1433.2004999999999</v>
      </c>
      <c r="W240" s="8">
        <f t="shared" si="62"/>
        <v>21.549999999999955</v>
      </c>
      <c r="X240" s="6">
        <f t="shared" si="56"/>
        <v>21.549999999999955</v>
      </c>
      <c r="Y240" s="6" t="str">
        <f t="shared" si="57"/>
        <v xml:space="preserve"> </v>
      </c>
    </row>
    <row r="241" spans="1:25" x14ac:dyDescent="0.35">
      <c r="A241" s="13">
        <v>45601</v>
      </c>
      <c r="B241" s="15">
        <v>1734.9</v>
      </c>
      <c r="C241" s="11">
        <v>321.8</v>
      </c>
      <c r="D241" s="18">
        <v>1275.2</v>
      </c>
      <c r="E241" s="7">
        <f t="shared" si="63"/>
        <v>1735.0399999999997</v>
      </c>
      <c r="F241" s="7">
        <f t="shared" si="69"/>
        <v>1642.6225000000002</v>
      </c>
      <c r="G241" s="7">
        <f t="shared" si="51"/>
        <v>1643.6889999999996</v>
      </c>
      <c r="H241" s="7">
        <f t="shared" si="66"/>
        <v>1865.1212499999995</v>
      </c>
      <c r="I241" s="7">
        <f t="shared" si="58"/>
        <v>-15.25</v>
      </c>
      <c r="J241" s="4" t="str">
        <f t="shared" si="54"/>
        <v xml:space="preserve"> </v>
      </c>
      <c r="K241" s="4">
        <f t="shared" si="55"/>
        <v>-15.25</v>
      </c>
      <c r="L241" s="5">
        <f t="shared" si="64"/>
        <v>319.27999999999997</v>
      </c>
      <c r="M241" s="5">
        <f t="shared" si="70"/>
        <v>321.92249999999996</v>
      </c>
      <c r="N241" s="5">
        <f t="shared" si="52"/>
        <v>314.51300000000009</v>
      </c>
      <c r="O241" s="5">
        <f t="shared" si="67"/>
        <v>282.60739999999993</v>
      </c>
      <c r="P241" s="5">
        <f t="shared" si="59"/>
        <v>-4.6499999999999773</v>
      </c>
      <c r="Q241" s="5" t="str">
        <f t="shared" si="60"/>
        <v xml:space="preserve"> </v>
      </c>
      <c r="R241" s="5">
        <f t="shared" si="61"/>
        <v>-4.6499999999999773</v>
      </c>
      <c r="S241" s="8">
        <f t="shared" si="65"/>
        <v>1277.55</v>
      </c>
      <c r="T241" s="8">
        <f t="shared" si="71"/>
        <v>1251.5525000000002</v>
      </c>
      <c r="U241" s="8">
        <f t="shared" si="53"/>
        <v>1254.5690000000002</v>
      </c>
      <c r="V241" s="8">
        <f t="shared" si="68"/>
        <v>1432.1880000000001</v>
      </c>
      <c r="W241" s="8">
        <f t="shared" si="62"/>
        <v>-29.349999999999909</v>
      </c>
      <c r="X241" s="6" t="str">
        <f t="shared" si="56"/>
        <v xml:space="preserve"> </v>
      </c>
      <c r="Y241" s="6">
        <f t="shared" si="57"/>
        <v>-29.349999999999909</v>
      </c>
    </row>
    <row r="242" spans="1:25" x14ac:dyDescent="0.35">
      <c r="A242" s="13">
        <v>45600</v>
      </c>
      <c r="B242" s="15">
        <v>1709.85</v>
      </c>
      <c r="C242" s="11">
        <v>319.89999999999998</v>
      </c>
      <c r="D242" s="18">
        <v>1249.8499999999999</v>
      </c>
      <c r="E242" s="7">
        <f t="shared" si="63"/>
        <v>1733.0100000000002</v>
      </c>
      <c r="F242" s="7">
        <f t="shared" si="69"/>
        <v>1646.6175000000003</v>
      </c>
      <c r="G242" s="7">
        <f t="shared" si="51"/>
        <v>1643.9679999999998</v>
      </c>
      <c r="H242" s="7">
        <f t="shared" si="66"/>
        <v>1863.8504999999993</v>
      </c>
      <c r="I242" s="7">
        <f t="shared" si="58"/>
        <v>-25.050000000000182</v>
      </c>
      <c r="J242" s="4" t="str">
        <f t="shared" si="54"/>
        <v xml:space="preserve"> </v>
      </c>
      <c r="K242" s="4">
        <f t="shared" si="55"/>
        <v>-25.050000000000182</v>
      </c>
      <c r="L242" s="5">
        <f t="shared" si="64"/>
        <v>320.88</v>
      </c>
      <c r="M242" s="5">
        <f t="shared" si="70"/>
        <v>320.6674999999999</v>
      </c>
      <c r="N242" s="5">
        <f t="shared" si="52"/>
        <v>315.38200000000006</v>
      </c>
      <c r="O242" s="5">
        <f t="shared" si="67"/>
        <v>282.60914999999994</v>
      </c>
      <c r="P242" s="5">
        <f t="shared" si="59"/>
        <v>-1.9000000000000341</v>
      </c>
      <c r="Q242" s="5" t="str">
        <f t="shared" si="60"/>
        <v xml:space="preserve"> </v>
      </c>
      <c r="R242" s="5">
        <f t="shared" si="61"/>
        <v>-1.9000000000000341</v>
      </c>
      <c r="S242" s="8">
        <f t="shared" si="65"/>
        <v>1274.52</v>
      </c>
      <c r="T242" s="8">
        <f t="shared" si="71"/>
        <v>1249.1299999999999</v>
      </c>
      <c r="U242" s="8">
        <f t="shared" si="53"/>
        <v>1253.9259999999999</v>
      </c>
      <c r="V242" s="8">
        <f t="shared" si="68"/>
        <v>1430.8842499999998</v>
      </c>
      <c r="W242" s="8">
        <f t="shared" si="62"/>
        <v>-25.350000000000136</v>
      </c>
      <c r="X242" s="6" t="str">
        <f t="shared" si="56"/>
        <v xml:space="preserve"> </v>
      </c>
      <c r="Y242" s="6">
        <f t="shared" si="57"/>
        <v>-25.350000000000136</v>
      </c>
    </row>
    <row r="243" spans="1:25" x14ac:dyDescent="0.35">
      <c r="A243" s="13">
        <v>45597</v>
      </c>
      <c r="B243" s="15">
        <v>1760</v>
      </c>
      <c r="C243" s="11">
        <v>326.45</v>
      </c>
      <c r="D243" s="18">
        <v>1284.95</v>
      </c>
      <c r="E243" s="7">
        <f t="shared" si="63"/>
        <v>1737.4100000000003</v>
      </c>
      <c r="F243" s="7">
        <f t="shared" si="69"/>
        <v>1654.1325000000004</v>
      </c>
      <c r="G243" s="7">
        <f t="shared" si="51"/>
        <v>1645.6719999999998</v>
      </c>
      <c r="H243" s="7">
        <f t="shared" si="66"/>
        <v>1862.8124999999998</v>
      </c>
      <c r="I243" s="7">
        <f t="shared" si="58"/>
        <v>50.150000000000091</v>
      </c>
      <c r="J243" s="4">
        <f t="shared" si="54"/>
        <v>50.150000000000091</v>
      </c>
      <c r="K243" s="4" t="str">
        <f t="shared" si="55"/>
        <v xml:space="preserve"> </v>
      </c>
      <c r="L243" s="5">
        <f t="shared" si="64"/>
        <v>323.17</v>
      </c>
      <c r="M243" s="5">
        <f t="shared" si="70"/>
        <v>319.88499999999988</v>
      </c>
      <c r="N243" s="5">
        <f t="shared" si="52"/>
        <v>316.4310000000001</v>
      </c>
      <c r="O243" s="5">
        <f t="shared" si="67"/>
        <v>282.63889999999986</v>
      </c>
      <c r="P243" s="5">
        <f t="shared" si="59"/>
        <v>6.5500000000000114</v>
      </c>
      <c r="Q243" s="5">
        <f t="shared" si="60"/>
        <v>6.5500000000000114</v>
      </c>
      <c r="R243" s="5" t="str">
        <f t="shared" si="61"/>
        <v xml:space="preserve"> </v>
      </c>
      <c r="S243" s="8">
        <f t="shared" si="65"/>
        <v>1279.51</v>
      </c>
      <c r="T243" s="8">
        <f t="shared" si="71"/>
        <v>1250.5774999999999</v>
      </c>
      <c r="U243" s="8">
        <f t="shared" si="53"/>
        <v>1254.509</v>
      </c>
      <c r="V243" s="8">
        <f t="shared" si="68"/>
        <v>1429.6975</v>
      </c>
      <c r="W243" s="8">
        <f t="shared" si="62"/>
        <v>35.100000000000136</v>
      </c>
      <c r="X243" s="6">
        <f t="shared" si="56"/>
        <v>35.100000000000136</v>
      </c>
      <c r="Y243" s="6" t="str">
        <f t="shared" si="57"/>
        <v xml:space="preserve"> </v>
      </c>
    </row>
    <row r="244" spans="1:25" x14ac:dyDescent="0.35">
      <c r="A244" s="13">
        <v>45596</v>
      </c>
      <c r="B244" s="15">
        <v>1748</v>
      </c>
      <c r="C244" s="11">
        <v>322</v>
      </c>
      <c r="D244" s="18">
        <v>1270</v>
      </c>
      <c r="E244" s="7">
        <f t="shared" si="63"/>
        <v>1740.58</v>
      </c>
      <c r="F244" s="7">
        <f t="shared" si="69"/>
        <v>1661.7800000000002</v>
      </c>
      <c r="G244" s="7">
        <f t="shared" ref="G244:G250" si="72">AVERAGE(B195:B244)</f>
        <v>1646.0919999999999</v>
      </c>
      <c r="H244" s="7">
        <f t="shared" si="66"/>
        <v>1861.6594999999998</v>
      </c>
      <c r="I244" s="7">
        <f t="shared" si="58"/>
        <v>-12</v>
      </c>
      <c r="J244" s="4" t="str">
        <f t="shared" si="54"/>
        <v xml:space="preserve"> </v>
      </c>
      <c r="K244" s="4">
        <f t="shared" si="55"/>
        <v>-12</v>
      </c>
      <c r="L244" s="5">
        <f t="shared" si="64"/>
        <v>323.32</v>
      </c>
      <c r="M244" s="5">
        <f t="shared" si="70"/>
        <v>319.48749999999995</v>
      </c>
      <c r="N244" s="5">
        <f t="shared" ref="N244:N250" si="73">AVERAGE(C195:C244)</f>
        <v>317.39600000000007</v>
      </c>
      <c r="O244" s="5">
        <f t="shared" si="67"/>
        <v>282.62864999999988</v>
      </c>
      <c r="P244" s="5">
        <f t="shared" si="59"/>
        <v>-4.4499999999999886</v>
      </c>
      <c r="Q244" s="5" t="str">
        <f t="shared" si="60"/>
        <v xml:space="preserve"> </v>
      </c>
      <c r="R244" s="5">
        <f t="shared" si="61"/>
        <v>-4.4499999999999886</v>
      </c>
      <c r="S244" s="8">
        <f t="shared" si="65"/>
        <v>1276.9100000000001</v>
      </c>
      <c r="T244" s="8">
        <f t="shared" si="71"/>
        <v>1251.5449999999998</v>
      </c>
      <c r="U244" s="8">
        <f t="shared" ref="U244:U250" si="74">AVERAGE(D195:D244)</f>
        <v>1254.3679999999999</v>
      </c>
      <c r="V244" s="8">
        <f t="shared" si="68"/>
        <v>1428.4575</v>
      </c>
      <c r="W244" s="8">
        <f t="shared" si="62"/>
        <v>-14.950000000000045</v>
      </c>
      <c r="X244" s="6" t="str">
        <f t="shared" si="56"/>
        <v xml:space="preserve"> </v>
      </c>
      <c r="Y244" s="6">
        <f t="shared" si="57"/>
        <v>-14.950000000000045</v>
      </c>
    </row>
    <row r="245" spans="1:25" x14ac:dyDescent="0.35">
      <c r="A245" s="13">
        <v>45595</v>
      </c>
      <c r="B245" s="15">
        <v>1752</v>
      </c>
      <c r="C245" s="11">
        <v>319.25</v>
      </c>
      <c r="D245" s="18">
        <v>1277.2</v>
      </c>
      <c r="E245" s="7">
        <f t="shared" si="63"/>
        <v>1740.95</v>
      </c>
      <c r="F245" s="7">
        <f t="shared" si="69"/>
        <v>1670.3800000000003</v>
      </c>
      <c r="G245" s="7">
        <f t="shared" si="72"/>
        <v>1647.635</v>
      </c>
      <c r="H245" s="7">
        <f t="shared" si="66"/>
        <v>1860.6244999999999</v>
      </c>
      <c r="I245" s="7">
        <f t="shared" si="58"/>
        <v>4</v>
      </c>
      <c r="J245" s="4">
        <f t="shared" si="54"/>
        <v>4</v>
      </c>
      <c r="K245" s="4" t="str">
        <f t="shared" si="55"/>
        <v xml:space="preserve"> </v>
      </c>
      <c r="L245" s="5">
        <f t="shared" si="64"/>
        <v>321.88</v>
      </c>
      <c r="M245" s="5">
        <f t="shared" si="70"/>
        <v>319.03249999999997</v>
      </c>
      <c r="N245" s="5">
        <f t="shared" si="73"/>
        <v>318.46500000000009</v>
      </c>
      <c r="O245" s="5">
        <f t="shared" si="67"/>
        <v>282.58239999999989</v>
      </c>
      <c r="P245" s="5">
        <f t="shared" si="59"/>
        <v>-2.75</v>
      </c>
      <c r="Q245" s="5" t="str">
        <f t="shared" si="60"/>
        <v xml:space="preserve"> </v>
      </c>
      <c r="R245" s="5">
        <f t="shared" si="61"/>
        <v>-2.75</v>
      </c>
      <c r="S245" s="8">
        <f t="shared" si="65"/>
        <v>1271.44</v>
      </c>
      <c r="T245" s="8">
        <f t="shared" si="71"/>
        <v>1253.655</v>
      </c>
      <c r="U245" s="8">
        <f t="shared" si="74"/>
        <v>1255.4489999999998</v>
      </c>
      <c r="V245" s="8">
        <f t="shared" si="68"/>
        <v>1427.2209999999998</v>
      </c>
      <c r="W245" s="8">
        <f t="shared" si="62"/>
        <v>7.2000000000000455</v>
      </c>
      <c r="X245" s="6">
        <f t="shared" si="56"/>
        <v>7.2000000000000455</v>
      </c>
      <c r="Y245" s="6" t="str">
        <f t="shared" si="57"/>
        <v xml:space="preserve"> </v>
      </c>
    </row>
    <row r="246" spans="1:25" x14ac:dyDescent="0.35">
      <c r="A246" s="13">
        <v>45594</v>
      </c>
      <c r="B246" s="15">
        <v>1762.2</v>
      </c>
      <c r="C246" s="11">
        <v>325.8</v>
      </c>
      <c r="D246" s="18">
        <v>1296.6500000000001</v>
      </c>
      <c r="E246" s="7">
        <f t="shared" si="63"/>
        <v>1746.4100000000003</v>
      </c>
      <c r="F246" s="7">
        <f t="shared" si="69"/>
        <v>1679.375</v>
      </c>
      <c r="G246" s="7">
        <f t="shared" si="72"/>
        <v>1648.9019999999998</v>
      </c>
      <c r="H246" s="7">
        <f t="shared" si="66"/>
        <v>1859.5659999999998</v>
      </c>
      <c r="I246" s="7">
        <f t="shared" si="58"/>
        <v>10.200000000000045</v>
      </c>
      <c r="J246" s="4">
        <f t="shared" si="54"/>
        <v>10.200000000000045</v>
      </c>
      <c r="K246" s="4" t="str">
        <f t="shared" si="55"/>
        <v xml:space="preserve"> </v>
      </c>
      <c r="L246" s="5">
        <f t="shared" si="64"/>
        <v>322.67999999999995</v>
      </c>
      <c r="M246" s="5">
        <f t="shared" si="70"/>
        <v>319.03750000000002</v>
      </c>
      <c r="N246" s="5">
        <f t="shared" si="73"/>
        <v>319.36300000000011</v>
      </c>
      <c r="O246" s="5">
        <f t="shared" si="67"/>
        <v>282.55439999999993</v>
      </c>
      <c r="P246" s="5">
        <f t="shared" si="59"/>
        <v>6.5500000000000114</v>
      </c>
      <c r="Q246" s="5">
        <f t="shared" si="60"/>
        <v>6.5500000000000114</v>
      </c>
      <c r="R246" s="5" t="str">
        <f t="shared" si="61"/>
        <v xml:space="preserve"> </v>
      </c>
      <c r="S246" s="8">
        <f t="shared" si="65"/>
        <v>1275.73</v>
      </c>
      <c r="T246" s="8">
        <f t="shared" si="71"/>
        <v>1255.0850000000003</v>
      </c>
      <c r="U246" s="8">
        <f t="shared" si="74"/>
        <v>1256.3619999999999</v>
      </c>
      <c r="V246" s="8">
        <f t="shared" si="68"/>
        <v>1426.0782499999998</v>
      </c>
      <c r="W246" s="8">
        <f t="shared" si="62"/>
        <v>19.450000000000045</v>
      </c>
      <c r="X246" s="6">
        <f t="shared" si="56"/>
        <v>19.450000000000045</v>
      </c>
      <c r="Y246" s="6" t="str">
        <f t="shared" si="57"/>
        <v xml:space="preserve"> </v>
      </c>
    </row>
    <row r="247" spans="1:25" x14ac:dyDescent="0.35">
      <c r="A247" s="13">
        <v>45593</v>
      </c>
      <c r="B247" s="15">
        <v>1724.15</v>
      </c>
      <c r="C247" s="11">
        <v>316.45</v>
      </c>
      <c r="D247" s="18">
        <v>1283</v>
      </c>
      <c r="E247" s="7">
        <f t="shared" si="63"/>
        <v>1749.27</v>
      </c>
      <c r="F247" s="7">
        <f t="shared" si="69"/>
        <v>1685.5825</v>
      </c>
      <c r="G247" s="7">
        <f t="shared" si="72"/>
        <v>1649.6049999999998</v>
      </c>
      <c r="H247" s="7">
        <f t="shared" si="66"/>
        <v>1858.2117500000002</v>
      </c>
      <c r="I247" s="7">
        <f t="shared" si="58"/>
        <v>-38.049999999999955</v>
      </c>
      <c r="J247" s="4" t="str">
        <f t="shared" si="54"/>
        <v xml:space="preserve"> </v>
      </c>
      <c r="K247" s="4">
        <f t="shared" si="55"/>
        <v>-38.049999999999955</v>
      </c>
      <c r="L247" s="5">
        <f t="shared" si="64"/>
        <v>321.99</v>
      </c>
      <c r="M247" s="5">
        <f t="shared" si="70"/>
        <v>318.39249999999998</v>
      </c>
      <c r="N247" s="5">
        <f t="shared" si="73"/>
        <v>319.8950000000001</v>
      </c>
      <c r="O247" s="5">
        <f t="shared" si="67"/>
        <v>282.48814999999991</v>
      </c>
      <c r="P247" s="5">
        <f t="shared" si="59"/>
        <v>-9.3500000000000227</v>
      </c>
      <c r="Q247" s="5" t="str">
        <f t="shared" si="60"/>
        <v xml:space="preserve"> </v>
      </c>
      <c r="R247" s="5">
        <f t="shared" si="61"/>
        <v>-9.3500000000000227</v>
      </c>
      <c r="S247" s="8">
        <f t="shared" si="65"/>
        <v>1282.3599999999999</v>
      </c>
      <c r="T247" s="8">
        <f t="shared" si="71"/>
        <v>1255.24</v>
      </c>
      <c r="U247" s="8">
        <f t="shared" si="74"/>
        <v>1256.3019999999999</v>
      </c>
      <c r="V247" s="8">
        <f t="shared" si="68"/>
        <v>1424.8932499999999</v>
      </c>
      <c r="W247" s="8">
        <f t="shared" si="62"/>
        <v>-13.650000000000091</v>
      </c>
      <c r="X247" s="6" t="str">
        <f t="shared" si="56"/>
        <v xml:space="preserve"> </v>
      </c>
      <c r="Y247" s="6">
        <f t="shared" si="57"/>
        <v>-13.650000000000091</v>
      </c>
    </row>
    <row r="248" spans="1:25" x14ac:dyDescent="0.35">
      <c r="A248" s="13">
        <v>45590</v>
      </c>
      <c r="B248" s="15">
        <v>1713.4</v>
      </c>
      <c r="C248" s="11">
        <v>311.89999999999998</v>
      </c>
      <c r="D248" s="18">
        <v>1383.2</v>
      </c>
      <c r="E248" s="7">
        <f t="shared" si="63"/>
        <v>1739.95</v>
      </c>
      <c r="F248" s="7">
        <f t="shared" si="69"/>
        <v>1691.5525000000002</v>
      </c>
      <c r="G248" s="7">
        <f t="shared" si="72"/>
        <v>1649.9729999999995</v>
      </c>
      <c r="H248" s="7">
        <f t="shared" si="66"/>
        <v>1857.1757500000001</v>
      </c>
      <c r="I248" s="7">
        <f t="shared" si="58"/>
        <v>-10.75</v>
      </c>
      <c r="J248" s="4" t="str">
        <f t="shared" si="54"/>
        <v xml:space="preserve"> </v>
      </c>
      <c r="K248" s="4">
        <f t="shared" si="55"/>
        <v>-10.75</v>
      </c>
      <c r="L248" s="5">
        <f t="shared" si="64"/>
        <v>319.08000000000004</v>
      </c>
      <c r="M248" s="5">
        <f t="shared" si="70"/>
        <v>317.68249999999995</v>
      </c>
      <c r="N248" s="5">
        <f t="shared" si="73"/>
        <v>320.16600000000011</v>
      </c>
      <c r="O248" s="5">
        <f t="shared" si="67"/>
        <v>282.41089999999991</v>
      </c>
      <c r="P248" s="5">
        <f t="shared" si="59"/>
        <v>-4.5500000000000114</v>
      </c>
      <c r="Q248" s="5" t="str">
        <f t="shared" si="60"/>
        <v xml:space="preserve"> </v>
      </c>
      <c r="R248" s="5">
        <f t="shared" si="61"/>
        <v>-4.5500000000000114</v>
      </c>
      <c r="S248" s="8">
        <f t="shared" si="65"/>
        <v>1302.01</v>
      </c>
      <c r="T248" s="8">
        <f t="shared" si="71"/>
        <v>1261.1000000000001</v>
      </c>
      <c r="U248" s="8">
        <f t="shared" si="74"/>
        <v>1258.5389999999998</v>
      </c>
      <c r="V248" s="8">
        <f t="shared" si="68"/>
        <v>1424.5142499999999</v>
      </c>
      <c r="W248" s="8">
        <f t="shared" si="62"/>
        <v>100.20000000000005</v>
      </c>
      <c r="X248" s="6">
        <f t="shared" si="56"/>
        <v>100.20000000000005</v>
      </c>
      <c r="Y248" s="6" t="str">
        <f t="shared" si="57"/>
        <v xml:space="preserve"> </v>
      </c>
    </row>
    <row r="249" spans="1:25" x14ac:dyDescent="0.35">
      <c r="A249" s="13">
        <v>45589</v>
      </c>
      <c r="B249" s="15">
        <v>1745</v>
      </c>
      <c r="C249" s="11">
        <v>315.95</v>
      </c>
      <c r="D249" s="18">
        <v>1389.7</v>
      </c>
      <c r="E249" s="7">
        <f t="shared" si="63"/>
        <v>1739.35</v>
      </c>
      <c r="F249" s="7">
        <f t="shared" si="69"/>
        <v>1698.2025000000001</v>
      </c>
      <c r="G249" s="7">
        <f t="shared" si="72"/>
        <v>1651.2719999999995</v>
      </c>
      <c r="H249" s="7">
        <f t="shared" si="66"/>
        <v>1856.3157500000004</v>
      </c>
      <c r="I249" s="7">
        <f t="shared" si="58"/>
        <v>31.599999999999909</v>
      </c>
      <c r="J249" s="4">
        <f t="shared" si="54"/>
        <v>31.599999999999909</v>
      </c>
      <c r="K249" s="4" t="str">
        <f t="shared" si="55"/>
        <v xml:space="preserve"> </v>
      </c>
      <c r="L249" s="5">
        <f t="shared" si="64"/>
        <v>317.87</v>
      </c>
      <c r="M249" s="5">
        <f t="shared" si="70"/>
        <v>317.47999999999996</v>
      </c>
      <c r="N249" s="5">
        <f t="shared" si="73"/>
        <v>320.50500000000011</v>
      </c>
      <c r="O249" s="5">
        <f t="shared" si="67"/>
        <v>282.33664999999996</v>
      </c>
      <c r="P249" s="5">
        <f t="shared" si="59"/>
        <v>4.0500000000000114</v>
      </c>
      <c r="Q249" s="5">
        <f t="shared" si="60"/>
        <v>4.0500000000000114</v>
      </c>
      <c r="R249" s="5" t="str">
        <f t="shared" si="61"/>
        <v xml:space="preserve"> </v>
      </c>
      <c r="S249" s="8">
        <f t="shared" si="65"/>
        <v>1325.95</v>
      </c>
      <c r="T249" s="8">
        <f t="shared" si="71"/>
        <v>1268.3000000000002</v>
      </c>
      <c r="U249" s="8">
        <f t="shared" si="74"/>
        <v>1260.8909999999996</v>
      </c>
      <c r="V249" s="8">
        <f t="shared" si="68"/>
        <v>1424.16725</v>
      </c>
      <c r="W249" s="8">
        <f t="shared" si="62"/>
        <v>6.5</v>
      </c>
      <c r="X249" s="6">
        <f t="shared" si="56"/>
        <v>6.5</v>
      </c>
      <c r="Y249" s="6" t="str">
        <f t="shared" si="57"/>
        <v xml:space="preserve"> </v>
      </c>
    </row>
    <row r="250" spans="1:25" x14ac:dyDescent="0.35">
      <c r="A250" s="13">
        <v>45588</v>
      </c>
      <c r="B250" s="15">
        <v>1741.95</v>
      </c>
      <c r="C250" s="11">
        <v>314.45</v>
      </c>
      <c r="D250" s="18">
        <v>1401.3</v>
      </c>
      <c r="E250" s="7">
        <f t="shared" si="63"/>
        <v>1737.3400000000001</v>
      </c>
      <c r="F250" s="7">
        <f t="shared" si="69"/>
        <v>1705.25</v>
      </c>
      <c r="G250" s="7">
        <f t="shared" si="72"/>
        <v>1652.3309999999997</v>
      </c>
      <c r="H250" s="7">
        <f t="shared" si="66"/>
        <v>1855.5005000000006</v>
      </c>
      <c r="I250" s="7">
        <f t="shared" si="58"/>
        <v>-3.0499999999999545</v>
      </c>
      <c r="J250" s="4" t="str">
        <f t="shared" si="54"/>
        <v xml:space="preserve"> </v>
      </c>
      <c r="K250" s="4">
        <f t="shared" si="55"/>
        <v>-3.0499999999999545</v>
      </c>
      <c r="L250" s="5">
        <f t="shared" si="64"/>
        <v>316.90999999999997</v>
      </c>
      <c r="M250" s="5">
        <f t="shared" si="70"/>
        <v>317.505</v>
      </c>
      <c r="N250" s="5">
        <f t="shared" si="73"/>
        <v>320.86700000000013</v>
      </c>
      <c r="O250" s="5">
        <f t="shared" si="67"/>
        <v>282.27439999999996</v>
      </c>
      <c r="P250" s="5">
        <f t="shared" si="59"/>
        <v>-1.5</v>
      </c>
      <c r="Q250" s="5" t="str">
        <f t="shared" si="60"/>
        <v xml:space="preserve"> </v>
      </c>
      <c r="R250" s="5">
        <f t="shared" si="61"/>
        <v>-1.5</v>
      </c>
      <c r="S250" s="8">
        <f t="shared" si="65"/>
        <v>1350.77</v>
      </c>
      <c r="T250" s="8">
        <f t="shared" si="71"/>
        <v>1277.9600000000003</v>
      </c>
      <c r="U250" s="8">
        <f t="shared" si="74"/>
        <v>1263.0569999999998</v>
      </c>
      <c r="V250" s="8">
        <f t="shared" si="68"/>
        <v>1423.92875</v>
      </c>
      <c r="W250" s="8">
        <f t="shared" si="62"/>
        <v>11.599999999999909</v>
      </c>
      <c r="X250" s="6">
        <f t="shared" si="56"/>
        <v>11.599999999999909</v>
      </c>
      <c r="Y250" s="6" t="str">
        <f t="shared" si="57"/>
        <v xml:space="preserve"> </v>
      </c>
    </row>
    <row r="251" spans="1:25" x14ac:dyDescent="0.35">
      <c r="J251" s="1">
        <f>AVERAGE(J2:J250)</f>
        <v>18.414615384615384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3DC3-6FD6-4A38-89C6-8ED993AD6930}">
  <dimension ref="A1:M22"/>
  <sheetViews>
    <sheetView zoomScale="85" workbookViewId="0">
      <selection activeCell="L15" sqref="L15"/>
    </sheetView>
  </sheetViews>
  <sheetFormatPr defaultRowHeight="14.5" x14ac:dyDescent="0.35"/>
  <cols>
    <col min="1" max="1" width="10.26953125" customWidth="1"/>
    <col min="2" max="2" width="10.6328125" customWidth="1"/>
    <col min="3" max="3" width="17.90625" customWidth="1"/>
    <col min="4" max="4" width="11.6328125" customWidth="1"/>
    <col min="5" max="5" width="12.7265625" customWidth="1"/>
    <col min="6" max="6" width="14.54296875" customWidth="1"/>
    <col min="7" max="7" width="13.36328125" customWidth="1"/>
    <col min="8" max="8" width="21.54296875" customWidth="1"/>
    <col min="9" max="9" width="19.08984375" customWidth="1"/>
    <col min="10" max="10" width="11.1796875" customWidth="1"/>
    <col min="12" max="12" width="13.90625" customWidth="1"/>
    <col min="13" max="13" width="10.54296875" bestFit="1" customWidth="1"/>
  </cols>
  <sheetData>
    <row r="1" spans="1:10" s="22" customFormat="1" ht="17" customHeight="1" x14ac:dyDescent="0.35">
      <c r="A1" s="23" t="s">
        <v>17</v>
      </c>
      <c r="B1" s="23" t="s">
        <v>33</v>
      </c>
      <c r="C1" s="23" t="s">
        <v>18</v>
      </c>
      <c r="D1" s="23" t="s">
        <v>19</v>
      </c>
      <c r="E1" s="23" t="s">
        <v>20</v>
      </c>
      <c r="F1" s="23" t="s">
        <v>21</v>
      </c>
      <c r="G1" s="23" t="s">
        <v>22</v>
      </c>
      <c r="H1" s="23" t="s">
        <v>23</v>
      </c>
      <c r="I1" s="23" t="s">
        <v>24</v>
      </c>
      <c r="J1" s="23" t="s">
        <v>25</v>
      </c>
    </row>
    <row r="2" spans="1:10" ht="15.5" customHeight="1" x14ac:dyDescent="0.35">
      <c r="A2" s="24">
        <v>45944</v>
      </c>
      <c r="B2" s="26">
        <v>0.45</v>
      </c>
      <c r="C2" s="20" t="s">
        <v>26</v>
      </c>
      <c r="D2" s="20" t="s">
        <v>27</v>
      </c>
      <c r="E2" s="20">
        <v>100</v>
      </c>
      <c r="F2" s="20">
        <v>2029.7</v>
      </c>
      <c r="G2" s="20" t="s">
        <v>28</v>
      </c>
      <c r="H2" s="20">
        <f>E2*F2</f>
        <v>202970</v>
      </c>
      <c r="I2" s="20" t="s">
        <v>28</v>
      </c>
      <c r="J2" s="20"/>
    </row>
    <row r="3" spans="1:10" ht="15.5" x14ac:dyDescent="0.35">
      <c r="A3" s="24">
        <v>45944</v>
      </c>
      <c r="B3" s="26">
        <v>0.44583333333333336</v>
      </c>
      <c r="C3" s="20" t="s">
        <v>31</v>
      </c>
      <c r="D3" s="20" t="s">
        <v>27</v>
      </c>
      <c r="E3" s="20">
        <v>1000</v>
      </c>
      <c r="F3" s="20">
        <v>308</v>
      </c>
      <c r="G3" s="20" t="s">
        <v>28</v>
      </c>
      <c r="H3" s="20">
        <f>E3*F3</f>
        <v>308000</v>
      </c>
      <c r="I3" s="20" t="s">
        <v>28</v>
      </c>
      <c r="J3" s="20"/>
    </row>
    <row r="4" spans="1:10" ht="15.5" x14ac:dyDescent="0.35">
      <c r="A4" s="24">
        <v>45944</v>
      </c>
      <c r="B4" s="26">
        <v>0.14097222222222222</v>
      </c>
      <c r="C4" s="20" t="s">
        <v>26</v>
      </c>
      <c r="D4" s="20" t="s">
        <v>29</v>
      </c>
      <c r="E4" s="20">
        <v>100</v>
      </c>
      <c r="F4" s="20"/>
      <c r="G4" s="20">
        <v>2020</v>
      </c>
      <c r="H4" s="20"/>
      <c r="I4" s="20">
        <f>E4*G4</f>
        <v>202000</v>
      </c>
      <c r="J4" s="20">
        <f>I4-H2</f>
        <v>-970</v>
      </c>
    </row>
    <row r="5" spans="1:10" ht="15.5" x14ac:dyDescent="0.35">
      <c r="A5" s="24">
        <v>45944</v>
      </c>
      <c r="B5" s="26">
        <v>0.44722222222222224</v>
      </c>
      <c r="C5" s="20" t="s">
        <v>30</v>
      </c>
      <c r="D5" s="20" t="s">
        <v>27</v>
      </c>
      <c r="E5" s="20">
        <v>180</v>
      </c>
      <c r="F5" s="20">
        <v>1657.5</v>
      </c>
      <c r="G5" s="20" t="s">
        <v>28</v>
      </c>
      <c r="H5" s="20">
        <f>E5*F5</f>
        <v>298350</v>
      </c>
      <c r="I5" s="20" t="s">
        <v>28</v>
      </c>
      <c r="J5" s="20"/>
    </row>
    <row r="6" spans="1:10" ht="15.5" x14ac:dyDescent="0.35">
      <c r="A6" s="24">
        <v>45945</v>
      </c>
      <c r="B6" s="26">
        <v>0.1388888888888889</v>
      </c>
      <c r="C6" s="20" t="s">
        <v>31</v>
      </c>
      <c r="D6" s="20" t="s">
        <v>29</v>
      </c>
      <c r="E6" s="20">
        <v>1000</v>
      </c>
      <c r="F6" s="20"/>
      <c r="G6" s="20">
        <v>312.55</v>
      </c>
      <c r="H6" s="20"/>
      <c r="I6" s="20">
        <f>E6*G6</f>
        <v>312550</v>
      </c>
      <c r="J6" s="20">
        <f>I6-H3</f>
        <v>4550</v>
      </c>
    </row>
    <row r="7" spans="1:10" ht="15.5" x14ac:dyDescent="0.35">
      <c r="A7" s="24">
        <v>45946</v>
      </c>
      <c r="B7" s="26">
        <v>0.50694444444444442</v>
      </c>
      <c r="C7" s="20" t="s">
        <v>30</v>
      </c>
      <c r="D7" s="20" t="s">
        <v>29</v>
      </c>
      <c r="E7" s="20">
        <v>180</v>
      </c>
      <c r="F7" s="20"/>
      <c r="G7" s="20">
        <v>1671</v>
      </c>
      <c r="H7" s="20"/>
      <c r="I7" s="20">
        <f>E7*G7</f>
        <v>300780</v>
      </c>
      <c r="J7" s="20">
        <f>I7-H5</f>
        <v>2430</v>
      </c>
    </row>
    <row r="8" spans="1:10" ht="16" customHeight="1" x14ac:dyDescent="0.35">
      <c r="A8" s="24">
        <v>45946</v>
      </c>
      <c r="B8" s="26">
        <v>0.50763888888888886</v>
      </c>
      <c r="C8" s="20" t="s">
        <v>26</v>
      </c>
      <c r="D8" s="20" t="s">
        <v>27</v>
      </c>
      <c r="E8" s="20">
        <v>50</v>
      </c>
      <c r="F8" s="20">
        <v>2095.7800000000002</v>
      </c>
      <c r="G8" s="20"/>
      <c r="H8" s="20">
        <f t="shared" ref="H8:H20" si="0">E8*F8</f>
        <v>104789.00000000001</v>
      </c>
      <c r="I8" s="20"/>
      <c r="J8" s="21"/>
    </row>
    <row r="9" spans="1:10" ht="16" customHeight="1" x14ac:dyDescent="0.35">
      <c r="A9" s="24">
        <v>45946</v>
      </c>
      <c r="B9" s="26">
        <v>0.52083333333333337</v>
      </c>
      <c r="C9" s="20" t="s">
        <v>31</v>
      </c>
      <c r="D9" s="20" t="s">
        <v>27</v>
      </c>
      <c r="E9" s="20">
        <v>1000</v>
      </c>
      <c r="F9" s="20">
        <v>311.8</v>
      </c>
      <c r="G9" s="20"/>
      <c r="H9" s="20">
        <f>E9*F9</f>
        <v>311800</v>
      </c>
      <c r="I9" s="20"/>
      <c r="J9" s="21"/>
    </row>
    <row r="10" spans="1:10" ht="16" customHeight="1" x14ac:dyDescent="0.35">
      <c r="A10" s="24">
        <v>45947</v>
      </c>
      <c r="B10" s="26">
        <v>0.10347222222222222</v>
      </c>
      <c r="C10" s="20" t="s">
        <v>30</v>
      </c>
      <c r="D10" s="20" t="s">
        <v>27</v>
      </c>
      <c r="E10" s="20">
        <v>300</v>
      </c>
      <c r="F10" s="20">
        <v>1661.8</v>
      </c>
      <c r="G10" s="20"/>
      <c r="H10" s="20">
        <f t="shared" si="0"/>
        <v>498540</v>
      </c>
      <c r="I10" s="20">
        <f>E10*F10</f>
        <v>498540</v>
      </c>
      <c r="J10" s="21"/>
    </row>
    <row r="11" spans="1:10" ht="17.5" customHeight="1" x14ac:dyDescent="0.35">
      <c r="A11" s="24">
        <v>45947</v>
      </c>
      <c r="B11" s="26">
        <v>0.13194444444444445</v>
      </c>
      <c r="C11" s="20" t="s">
        <v>30</v>
      </c>
      <c r="D11" s="20" t="s">
        <v>29</v>
      </c>
      <c r="E11" s="20">
        <v>300</v>
      </c>
      <c r="F11" s="20" t="s">
        <v>28</v>
      </c>
      <c r="G11" s="20">
        <v>1663.8</v>
      </c>
      <c r="H11" s="20" t="s">
        <v>32</v>
      </c>
      <c r="I11" s="20">
        <f>E11*G11</f>
        <v>499140</v>
      </c>
      <c r="J11" s="21">
        <f>I11-H10</f>
        <v>600</v>
      </c>
    </row>
    <row r="12" spans="1:10" ht="15.5" customHeight="1" x14ac:dyDescent="0.35">
      <c r="A12" s="24">
        <v>45947</v>
      </c>
      <c r="B12" s="26">
        <v>0.45694444444444443</v>
      </c>
      <c r="C12" s="20" t="s">
        <v>31</v>
      </c>
      <c r="D12" s="20" t="s">
        <v>29</v>
      </c>
      <c r="E12" s="20">
        <v>1000</v>
      </c>
      <c r="F12" s="20" t="s">
        <v>28</v>
      </c>
      <c r="G12" s="20">
        <v>309.3</v>
      </c>
      <c r="H12" s="20" t="s">
        <v>32</v>
      </c>
      <c r="I12" s="20">
        <f>E12*G12</f>
        <v>309300</v>
      </c>
      <c r="J12" s="21">
        <f>I12-H9</f>
        <v>-2500</v>
      </c>
    </row>
    <row r="13" spans="1:10" ht="15.5" customHeight="1" x14ac:dyDescent="0.35">
      <c r="A13" s="24">
        <v>45947</v>
      </c>
      <c r="B13" s="26">
        <v>0.14166666666666666</v>
      </c>
      <c r="C13" s="20" t="s">
        <v>30</v>
      </c>
      <c r="D13" s="20" t="s">
        <v>27</v>
      </c>
      <c r="E13" s="20">
        <v>200</v>
      </c>
      <c r="F13" s="20">
        <v>1654.3</v>
      </c>
      <c r="G13" s="20"/>
      <c r="H13" s="20">
        <f>E13*F13</f>
        <v>330860</v>
      </c>
      <c r="I13" s="20"/>
      <c r="J13" s="21"/>
    </row>
    <row r="14" spans="1:10" ht="16" customHeight="1" x14ac:dyDescent="0.35">
      <c r="A14" s="24">
        <v>45950</v>
      </c>
      <c r="B14" s="26">
        <v>0.13958333333333334</v>
      </c>
      <c r="C14" s="20" t="s">
        <v>30</v>
      </c>
      <c r="D14" s="20" t="s">
        <v>29</v>
      </c>
      <c r="E14" s="20">
        <v>200</v>
      </c>
      <c r="F14" s="20"/>
      <c r="G14" s="20">
        <v>1673.4</v>
      </c>
      <c r="H14" s="20"/>
      <c r="I14" s="20">
        <f>E14*G14</f>
        <v>334680</v>
      </c>
      <c r="J14" s="21">
        <f>I14-H13</f>
        <v>3820</v>
      </c>
    </row>
    <row r="15" spans="1:10" ht="14.5" customHeight="1" x14ac:dyDescent="0.35">
      <c r="A15" s="24">
        <v>45951</v>
      </c>
      <c r="B15" s="26">
        <v>0.11597222222222223</v>
      </c>
      <c r="C15" s="20" t="s">
        <v>30</v>
      </c>
      <c r="D15" s="20" t="s">
        <v>27</v>
      </c>
      <c r="E15" s="20">
        <v>100</v>
      </c>
      <c r="F15" s="20">
        <v>1670.3</v>
      </c>
      <c r="G15" s="20"/>
      <c r="H15" s="20">
        <f>E15*F15</f>
        <v>167030</v>
      </c>
      <c r="I15" s="20"/>
      <c r="J15" s="21"/>
    </row>
    <row r="16" spans="1:10" ht="16" customHeight="1" x14ac:dyDescent="0.35">
      <c r="A16" s="24">
        <v>45953</v>
      </c>
      <c r="B16" s="26">
        <v>0.41249999999999998</v>
      </c>
      <c r="C16" s="20" t="s">
        <v>31</v>
      </c>
      <c r="D16" s="20" t="s">
        <v>27</v>
      </c>
      <c r="E16" s="20">
        <v>500</v>
      </c>
      <c r="F16" s="20">
        <v>302</v>
      </c>
      <c r="G16" s="20"/>
      <c r="H16" s="20">
        <f>E16*F16</f>
        <v>151000</v>
      </c>
      <c r="I16" s="20"/>
      <c r="J16" s="21"/>
    </row>
    <row r="17" spans="1:13" ht="16" customHeight="1" x14ac:dyDescent="0.35">
      <c r="A17" s="24">
        <v>45953</v>
      </c>
      <c r="B17" s="26">
        <v>9.7222222222222224E-2</v>
      </c>
      <c r="C17" s="20" t="s">
        <v>31</v>
      </c>
      <c r="D17" s="20" t="s">
        <v>29</v>
      </c>
      <c r="E17" s="20">
        <v>500</v>
      </c>
      <c r="F17" s="20">
        <v>307.45</v>
      </c>
      <c r="G17" s="20"/>
      <c r="H17" s="20"/>
      <c r="I17" s="20">
        <f>E17*F17</f>
        <v>153725</v>
      </c>
      <c r="J17" s="21">
        <f>I17-H16</f>
        <v>2725</v>
      </c>
    </row>
    <row r="18" spans="1:13" ht="16" customHeight="1" x14ac:dyDescent="0.35">
      <c r="A18" s="24">
        <v>45954</v>
      </c>
      <c r="B18" s="26">
        <v>0.4777777777777778</v>
      </c>
      <c r="C18" s="20" t="s">
        <v>30</v>
      </c>
      <c r="D18" s="20" t="s">
        <v>29</v>
      </c>
      <c r="E18" s="20">
        <v>100</v>
      </c>
      <c r="F18" s="20"/>
      <c r="G18" s="20">
        <v>1710</v>
      </c>
      <c r="H18" s="20"/>
      <c r="I18" s="20">
        <f>E18*G18</f>
        <v>171000</v>
      </c>
      <c r="J18" s="21">
        <f>I18-H15</f>
        <v>3970</v>
      </c>
    </row>
    <row r="19" spans="1:13" ht="16.5" customHeight="1" x14ac:dyDescent="0.35">
      <c r="A19" s="24">
        <v>45954</v>
      </c>
      <c r="B19" s="26">
        <v>9.7222222222222224E-2</v>
      </c>
      <c r="C19" s="20" t="s">
        <v>26</v>
      </c>
      <c r="D19" s="20" t="s">
        <v>29</v>
      </c>
      <c r="E19" s="20">
        <v>50</v>
      </c>
      <c r="F19" s="20"/>
      <c r="G19" s="20">
        <v>2112</v>
      </c>
      <c r="H19" s="20"/>
      <c r="I19" s="20">
        <f t="shared" ref="I19" si="1">E19*G19</f>
        <v>105600</v>
      </c>
      <c r="J19" s="21">
        <f>I19-H8</f>
        <v>810.99999999998545</v>
      </c>
    </row>
    <row r="20" spans="1:13" ht="15.5" x14ac:dyDescent="0.35">
      <c r="A20" s="24">
        <v>45959</v>
      </c>
      <c r="B20" s="26">
        <v>0.42916666666666664</v>
      </c>
      <c r="C20" s="20" t="s">
        <v>26</v>
      </c>
      <c r="D20" s="20" t="s">
        <v>27</v>
      </c>
      <c r="E20" s="20">
        <v>20</v>
      </c>
      <c r="F20" s="20">
        <v>2151</v>
      </c>
      <c r="G20" s="20"/>
      <c r="H20" s="20">
        <f t="shared" si="0"/>
        <v>43020</v>
      </c>
      <c r="I20" s="20"/>
      <c r="J20" s="25"/>
    </row>
    <row r="21" spans="1:13" ht="15.5" x14ac:dyDescent="0.35">
      <c r="A21" s="24">
        <v>45959</v>
      </c>
      <c r="B21" s="26">
        <v>0.53472222222222221</v>
      </c>
      <c r="C21" s="20" t="s">
        <v>26</v>
      </c>
      <c r="D21" s="20" t="s">
        <v>29</v>
      </c>
      <c r="E21" s="20">
        <v>20</v>
      </c>
      <c r="F21" s="25"/>
      <c r="G21" s="27">
        <v>2088</v>
      </c>
      <c r="H21" s="25"/>
      <c r="I21" s="25">
        <f>E21*G21</f>
        <v>41760</v>
      </c>
      <c r="J21" s="25">
        <f>I21-H20</f>
        <v>-1260</v>
      </c>
    </row>
    <row r="22" spans="1:13" x14ac:dyDescent="0.35">
      <c r="I22" t="s">
        <v>34</v>
      </c>
      <c r="J22" s="28">
        <f>J4+J6+J7+J11+J12+J14+J17+J18+J19+J21</f>
        <v>14175.999999999985</v>
      </c>
      <c r="L22" s="35" t="s">
        <v>35</v>
      </c>
      <c r="M22" s="35">
        <f>(1014176/1000000)</f>
        <v>1.014176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F8E1-4B41-4BBA-84E2-E6AB7D586624}">
  <dimension ref="A1:L22"/>
  <sheetViews>
    <sheetView topLeftCell="A7" workbookViewId="0">
      <selection activeCell="E12" sqref="E12"/>
    </sheetView>
  </sheetViews>
  <sheetFormatPr defaultRowHeight="14.5" x14ac:dyDescent="0.35"/>
  <cols>
    <col min="2" max="2" width="26.90625" customWidth="1"/>
    <col min="3" max="3" width="21.36328125" customWidth="1"/>
    <col min="4" max="4" width="17.7265625" customWidth="1"/>
    <col min="5" max="5" width="14.54296875" customWidth="1"/>
    <col min="6" max="6" width="19.08984375" customWidth="1"/>
    <col min="7" max="7" width="16.54296875" customWidth="1"/>
  </cols>
  <sheetData>
    <row r="1" spans="1:8" x14ac:dyDescent="0.35">
      <c r="A1" s="25"/>
      <c r="B1" s="31" t="s">
        <v>38</v>
      </c>
      <c r="C1" s="31" t="s">
        <v>39</v>
      </c>
      <c r="D1" s="31" t="s">
        <v>45</v>
      </c>
      <c r="E1" s="31" t="s">
        <v>46</v>
      </c>
      <c r="F1" s="31" t="s">
        <v>40</v>
      </c>
      <c r="G1" s="31" t="s">
        <v>39</v>
      </c>
      <c r="H1" s="30"/>
    </row>
    <row r="2" spans="1:8" x14ac:dyDescent="0.35">
      <c r="A2" s="31" t="s">
        <v>1</v>
      </c>
      <c r="B2" s="25">
        <f>'Trade Log'!H2+'Trade Log'!H8+'Trade Log'!H20</f>
        <v>350779</v>
      </c>
      <c r="C2" s="25">
        <f>'Trade Log'!I4+'Trade Log'!I19+'Trade Log'!I19</f>
        <v>413200</v>
      </c>
      <c r="D2" s="32">
        <f>B2*18.41%</f>
        <v>64578.413900000007</v>
      </c>
      <c r="E2" s="32">
        <f>B3*-23.11%</f>
        <v>-178131.88</v>
      </c>
      <c r="F2" s="32">
        <f>B2*-2.78%</f>
        <v>-9751.6561999999994</v>
      </c>
      <c r="G2" s="32">
        <f>C2-B2</f>
        <v>62421</v>
      </c>
    </row>
    <row r="3" spans="1:8" x14ac:dyDescent="0.35">
      <c r="A3" s="31" t="s">
        <v>37</v>
      </c>
      <c r="B3" s="25">
        <f>'Trade Log'!H3+'Trade Log'!H9+'Trade Log'!H16</f>
        <v>770800</v>
      </c>
      <c r="C3" s="25">
        <f>'Trade Log'!I6+'Trade Log'!I12+'Trade Log'!I17</f>
        <v>775575</v>
      </c>
      <c r="D3" s="32">
        <f>B3*4.68%</f>
        <v>36073.439999999995</v>
      </c>
      <c r="E3" s="32">
        <f>B3*-2.98%</f>
        <v>-22969.84</v>
      </c>
      <c r="F3" s="32">
        <f>B3*0.19%</f>
        <v>1464.52</v>
      </c>
      <c r="G3" s="32">
        <f t="shared" ref="G3:G4" si="0">C3-B3</f>
        <v>4775</v>
      </c>
    </row>
    <row r="4" spans="1:8" x14ac:dyDescent="0.35">
      <c r="A4" s="31" t="s">
        <v>36</v>
      </c>
      <c r="B4" s="25">
        <f>'Trade Log'!H5+'Trade Log'!H10+'Trade Log'!H13+'Trade Log'!H15</f>
        <v>1294780</v>
      </c>
      <c r="C4" s="25">
        <f>'Trade Log'!I7+'Trade Log'!I11+'Trade Log'!I14+'Trade Log'!I18</f>
        <v>1305600</v>
      </c>
      <c r="D4" s="32">
        <f>B4*20.61%</f>
        <v>266854.158</v>
      </c>
      <c r="E4" s="32">
        <f>B4*-27.65%</f>
        <v>-358006.67</v>
      </c>
      <c r="F4" s="32">
        <f>B4*-3.64%</f>
        <v>-47129.992000000006</v>
      </c>
      <c r="G4" s="32">
        <f t="shared" si="0"/>
        <v>10820</v>
      </c>
    </row>
    <row r="5" spans="1:8" x14ac:dyDescent="0.35">
      <c r="A5" s="25"/>
      <c r="B5" s="25">
        <f>SUM(B2:B4)</f>
        <v>2416359</v>
      </c>
      <c r="C5" s="25">
        <f>SUM(C2:C4)</f>
        <v>2494375</v>
      </c>
      <c r="D5" s="32"/>
      <c r="E5" s="32"/>
      <c r="F5" s="32">
        <f>SUM(F2:F4)</f>
        <v>-55417.128200000006</v>
      </c>
      <c r="G5" s="32">
        <f>G2+G3+G4</f>
        <v>78016</v>
      </c>
    </row>
    <row r="6" spans="1:8" x14ac:dyDescent="0.35">
      <c r="A6" s="25"/>
      <c r="B6" s="31" t="s">
        <v>47</v>
      </c>
      <c r="C6" s="31" t="s">
        <v>37</v>
      </c>
      <c r="D6" s="31" t="s">
        <v>36</v>
      </c>
      <c r="F6">
        <f>(B5-F5)/B5</f>
        <v>1.0229341452160048</v>
      </c>
      <c r="G6" s="30">
        <f>(B5-G5)/B5</f>
        <v>0.96771340682406881</v>
      </c>
    </row>
    <row r="7" spans="1:8" x14ac:dyDescent="0.35">
      <c r="A7" s="31" t="s">
        <v>43</v>
      </c>
      <c r="B7" s="33">
        <f>AVERAGE('RSI_&amp;_MA'!J3:J250)</f>
        <v>18.414615384615384</v>
      </c>
      <c r="C7" s="34">
        <f>AVERAGE('RSI_&amp;_MA'!Q3:Q250)</f>
        <v>4.3567226890756325</v>
      </c>
      <c r="D7" s="34">
        <f>AVERAGE('RSI_&amp;_MA'!X3:X250)</f>
        <v>20.204744525547451</v>
      </c>
    </row>
    <row r="8" spans="1:8" x14ac:dyDescent="0.35">
      <c r="A8" s="31" t="s">
        <v>44</v>
      </c>
      <c r="B8" s="34">
        <f>AVERAGE('RSI_&amp;_MA'!K3:K250)</f>
        <v>-23.965677966101694</v>
      </c>
      <c r="C8" s="34">
        <f>AVERAGE('RSI_&amp;_MA'!R3:R250)</f>
        <v>-3.9759689922480628</v>
      </c>
      <c r="D8" s="34">
        <f>AVERAGE('RSI_&amp;_MA'!Y3:Y250)</f>
        <v>-27.47522522522523</v>
      </c>
    </row>
    <row r="9" spans="1:8" x14ac:dyDescent="0.35">
      <c r="A9" s="31" t="s">
        <v>48</v>
      </c>
      <c r="B9" s="34">
        <f>AVERAGE(B7:B8)</f>
        <v>-2.7755312907431549</v>
      </c>
      <c r="C9" s="34">
        <f t="shared" ref="C9:D9" si="1">AVERAGE(C7:C8)</f>
        <v>0.19037684841378488</v>
      </c>
      <c r="D9" s="34">
        <f t="shared" si="1"/>
        <v>-3.6352403498388899</v>
      </c>
      <c r="E9" s="29">
        <f>AVERAGE(B9:D9)</f>
        <v>-2.0734649307227531</v>
      </c>
    </row>
    <row r="10" spans="1:8" x14ac:dyDescent="0.35">
      <c r="A10" s="31" t="s">
        <v>49</v>
      </c>
      <c r="B10" s="34">
        <f>(C2-B2)/C2*100</f>
        <v>15.106727976766699</v>
      </c>
      <c r="C10" s="34">
        <f>(C3-B3)/B3*100</f>
        <v>0.6194862480539699</v>
      </c>
      <c r="D10" s="34">
        <f>(C4-B4)/C4*100</f>
        <v>0.82873774509803921</v>
      </c>
      <c r="E10" s="29">
        <f>AVERAGE(B10:D10)</f>
        <v>5.5183173233062357</v>
      </c>
    </row>
    <row r="11" spans="1:8" x14ac:dyDescent="0.35">
      <c r="D11" t="s">
        <v>51</v>
      </c>
      <c r="E11" s="29">
        <f>E10+E9</f>
        <v>3.4448523925834826</v>
      </c>
    </row>
    <row r="22" spans="12:12" x14ac:dyDescent="0.35">
      <c r="L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RSI_&amp;_MA</vt:lpstr>
      <vt:lpstr>Trade Log</vt:lpstr>
      <vt:lpstr>PortFolio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2025-11-01T17:48:27Z</cp:lastPrinted>
  <dcterms:created xsi:type="dcterms:W3CDTF">2025-11-01T07:20:00Z</dcterms:created>
  <dcterms:modified xsi:type="dcterms:W3CDTF">2026-01-28T06:11:59Z</dcterms:modified>
</cp:coreProperties>
</file>